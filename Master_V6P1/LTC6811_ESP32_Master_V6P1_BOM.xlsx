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LTC6811_ESP32_Master_V5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<sst xmlns="http://schemas.openxmlformats.org/spreadsheetml/2006/main" count="343" uniqueCount="296">
  <si>
    <t>Item</t>
  </si>
  <si>
    <t>Qty</t>
  </si>
  <si>
    <t>Reference</t>
  </si>
  <si>
    <t>Value</t>
  </si>
  <si>
    <t>Description</t>
  </si>
  <si>
    <t>Datasheet</t>
  </si>
  <si>
    <t>Footprint</t>
  </si>
  <si>
    <t>Link</t>
  </si>
  <si>
    <t>MPN</t>
  </si>
  <si>
    <t>weight</t>
  </si>
  <si>
    <t>total weight</t>
  </si>
  <si>
    <t>C1,C2,C3,C4,C5,C6,C7,C8,C9,C10,C27,C28,C32,C37,C41,C47,C49,C51,C52,C53,C54,C55,C56,C57,C58,C59,C60,C61,C62,C63,C67,C68,C77,C78,C79,C80,C81,C82,C83,C84,C85,C86,C87,C88</t>
  </si>
  <si>
    <t>100nF/100V</t>
  </si>
  <si>
    <t>0.1 uF ±10% 100V Ceramic Capacitor X7R 0603 (1608 Metric)</t>
  </si>
  <si>
    <t>https://www.digikey.jp/en/products/detail/samsung-electro-mechanics/CL10B104KC8NNNC/5961291?s=N4IgTCBcDaIMIBkCMAGAQqgLAaTgDgDki4AdEkAXQF8g</t>
  </si>
  <si>
    <t>Capacitor_SMD:C_0603_1608Metric</t>
  </si>
  <si>
    <t>https://www.digikey.jp/en/products/detail/samsung-electro-mechanics/CL10B104KC8NNNC/5961291?s=N4IgTCBcDaIMIBkCMAGAQqgLAaTgDgDki4QBdAXyA</t>
  </si>
  <si>
    <t>CL10B104KC8NNNC</t>
  </si>
  <si>
    <t>C20,C33</t>
  </si>
  <si>
    <t>2.2uF/25V</t>
  </si>
  <si>
    <t>2.2 uF ±10% 25V Ceramic Capacitor X5R 0603 (1608 Metric)</t>
  </si>
  <si>
    <t>https://search.murata.co.jp/Ceramy/image/img/A01X/G101/ENG/GRM188R61E225KA12-01.pdf</t>
  </si>
  <si>
    <t>https://www.digikey.jp/en/products/detail/murata-electronics/GRM188R61E225KA12D/4905349</t>
  </si>
  <si>
    <t>GRM188R61E225KA12D</t>
  </si>
  <si>
    <t>C21,C48</t>
  </si>
  <si>
    <t>1nF/16V</t>
  </si>
  <si>
    <t>1000 pF ±10% 16V Ceramic Capacitor X7R 0603 (1608 Metric)</t>
  </si>
  <si>
    <t>https://connect.kemet.com:7667/gateway/IntelliData-ComponentDocumentation/1.0/download/datasheet/C0603C102K4RECAUTO</t>
  </si>
  <si>
    <t>https://www.digikey.jp/en/products/detail/kemet/C0603C102K4RECAUTO/8640472</t>
  </si>
  <si>
    <t>C0603C102K4RECAUTO</t>
  </si>
  <si>
    <t>C24,C26,C29,C30,C45,C50,C69,C70,C73,C74</t>
  </si>
  <si>
    <t>10nF/100V</t>
  </si>
  <si>
    <t>10000 pF ±10% 100V Ceramic Capacitor X7R 0603 (1608 Metric)</t>
  </si>
  <si>
    <t>https://content.kemet.com/datasheets/KEM_X7R_FT_VW_AUDI.pdf</t>
  </si>
  <si>
    <t>https://www.digikey.jp/en/products/detail/kemet/C0603X103K1RAC3316/10315782</t>
  </si>
  <si>
    <t>C0603X103K1RAC3316</t>
  </si>
  <si>
    <t>C31,C34,C35,C38,C39,C64,C65</t>
  </si>
  <si>
    <t>1uF/25V</t>
  </si>
  <si>
    <t>1 uF ±10% 25V Ceramic Capacitor X7R 0603 (1608 Metric)</t>
  </si>
  <si>
    <t>https://mm.digikey.com/Volume0/opasdata/d220001/medias/docus/3644/CL10B105KA8NNNC_spec.pdf</t>
  </si>
  <si>
    <t>https://www.digikey.jp/en/products/detail/samsung-electro-mechanics/CL10B105KA8NNNC/3886842</t>
  </si>
  <si>
    <t>CL10B105KA8NNNC</t>
  </si>
  <si>
    <t>C40,C42</t>
  </si>
  <si>
    <t>4.7uF/16V</t>
  </si>
  <si>
    <t>4.7 uF ±10% 16V Ceramic Capacitor X5R 0603 (1608 Metric)</t>
  </si>
  <si>
    <t>https://mm.digikey.com/Volume0/opasdata/d220001/medias/docus/2328/CL10A475KO8NNNC_Spec.pdf</t>
  </si>
  <si>
    <t>https://www.digikey.jp/en/products/detail/samsung-electro-mechanics/CL10A475KO8NNNC/3887442?s=N4IgTCBcDaIMIBkCMAGAggFgOwFYDSA8gBwByZcIAugL5A</t>
  </si>
  <si>
    <t>CL10A475KO8NNNC</t>
  </si>
  <si>
    <t>CR1,CR2,CR3</t>
  </si>
  <si>
    <t>S-562T</t>
  </si>
  <si>
    <t>CURRENT REGULATOR DIODES 100V 5.</t>
  </si>
  <si>
    <t>https://www.semitec-global.com/uploads/2022/01/P22-23-CRD.pdf</t>
  </si>
  <si>
    <t>Diode_SMD:D_SOD-123F</t>
  </si>
  <si>
    <t>https://www.digikey.jp/en/products/detail/semitec-usa-corp/S-562T/16578981</t>
  </si>
  <si>
    <t>D1,D4,D9,D25</t>
  </si>
  <si>
    <t>LED Red</t>
  </si>
  <si>
    <t>Red 631nm LED Indication - Discrete 2V 0603 (1608 Metric)</t>
  </si>
  <si>
    <t>https://optoelectronics.liteon.com/upload/download/DS-22-99-0151/LTST-C190KRKT.pdf</t>
  </si>
  <si>
    <t>LED_SMD:LED_0603_1608Metric</t>
  </si>
  <si>
    <t>https://www.digikey.jp/en/products/detail/liteon/LTST-C190KRKT/386817</t>
  </si>
  <si>
    <t>LTST-C190KRKT</t>
  </si>
  <si>
    <t>D6,D7,D22,D23</t>
  </si>
  <si>
    <t>1N4148W</t>
  </si>
  <si>
    <t>Diode 100 V 300mA Surface Mount SOD-123</t>
  </si>
  <si>
    <t>https://www.diodes.com/assets/Datasheets/BAV16W_1N4148W.pdf</t>
  </si>
  <si>
    <t>Diode_SMD:D_SOD-123</t>
  </si>
  <si>
    <t>https://www.digikey.jp/en/products/detail/diodes-incorporated/1N4148W-7-F/814371</t>
  </si>
  <si>
    <t>1N4148W-7-F</t>
  </si>
  <si>
    <t>D8,D24</t>
  </si>
  <si>
    <t>BZT52H-C62</t>
  </si>
  <si>
    <t>Zener Diode 62 V 375 mW ±5% Surface Mount SOD-123F</t>
  </si>
  <si>
    <t>https://assets.nexperia.com/documents/data-sheet/BZT52H_SER.pdf</t>
  </si>
  <si>
    <t>https://www.digikey.jp/en/products/detail/nexperia-usa-inc/BZT52H-C62-115/1162867</t>
  </si>
  <si>
    <t>BZT52H-C62,115</t>
  </si>
  <si>
    <t>D10,D11,D12,D13,D14,D15,D16,D17,D18,D19,D20,D21,D26,D27,D28,D29,D30,D31,D32,D33,D34,D35,D36,D37</t>
  </si>
  <si>
    <t>PDZ7.5B</t>
  </si>
  <si>
    <t>Zener Diode 7.6 V 400 mW ±2% Surface Mount SOD-323</t>
  </si>
  <si>
    <t>https://assets.nexperia.com/documents/data-sheet/PDZ-B_SER.pdf</t>
  </si>
  <si>
    <t>Diode_SMD:D_SOD-323_HandSoldering</t>
  </si>
  <si>
    <t>https://www.digikey.jp/en/products/detail/nexperia-usa-inc/PDZ7-5BZ/7495708</t>
  </si>
  <si>
    <t>PDZ7.5BZ</t>
  </si>
  <si>
    <t>F1,F2,F3,F4,F5,F6,F7,F8,F9,F10,F11,F12,F13,F14,F15,F16,F17,F18,F19,F20,F21,F22,F23,F24,F25,F26</t>
  </si>
  <si>
    <t>MPZ2012S102ATD25</t>
  </si>
  <si>
    <t>1 kOhms @ 100 MHz 1 Power Line Ferrite Bead 0805 (2012 Metric) 1.5A 150mOhm</t>
  </si>
  <si>
    <t>https://product.tdk.com/en/system/files?file=dam/doc/product/emc/emc/beads/catalog/beads_automotive_power_mpz2012_en.pdf</t>
  </si>
  <si>
    <t>Fuse:Fuse_0805_2012Metric</t>
  </si>
  <si>
    <t>https://www.digikey.jp/en/products/detail/tdk-corporation/MPZ2012S102ATD25/5040327?s=N4IgTCBcDaILIAUBaYAMBGMBldqwEEAVAETAFYQBdAXyA</t>
  </si>
  <si>
    <t>FB1,FB2</t>
  </si>
  <si>
    <t>BLM18PG330SN1D</t>
  </si>
  <si>
    <t>33 Ohms @ 100 MHz 1 Power Line Ferrite Bead 0603 (1608 Metric) 3A 25mOhm</t>
  </si>
  <si>
    <t>https://www.murata.com/en-us/products/productdata/8796738650142/ENFA0003.pdf</t>
  </si>
  <si>
    <t>Resistor_SMD:R_0603_1608Metric</t>
  </si>
  <si>
    <t>https://www.digikey.jp/en/products/detail/murata-electronics/BLM18PG330SN1D/1948325?s=N4IgTCBcDaIEIBkCyBGAHABQOIGYcAYBlAORQBEQBdAXyA</t>
  </si>
  <si>
    <t>J1</t>
  </si>
  <si>
    <t>B6B-XH-A</t>
  </si>
  <si>
    <t>Connector Header Through Hole 6 position 0.098" (2.50mm)</t>
  </si>
  <si>
    <t>https://www.jst-mfg.com/product/pdf/eng/eXH.pdf</t>
  </si>
  <si>
    <t>Connector_JST:JST_XH_B6B-XH-A_1x06_P2.50mm_Vertical</t>
  </si>
  <si>
    <t>https://www.digikey.jp/en/products/detail/jst-sales-america-inc/B6B-XH-A/1000381</t>
  </si>
  <si>
    <t>J5,J23</t>
  </si>
  <si>
    <t>CAN</t>
  </si>
  <si>
    <t>Connector Header Through Hole 4 position 0.098" (2.50mm)</t>
  </si>
  <si>
    <t>chrome-extension://efaidnbmnnnibpcajpcglclefindmkaj/https://www.jst-mfg.com/product/pdf/eng/eXH.pdf</t>
  </si>
  <si>
    <t>Connector_JST:JST_XH_B4B-XH-A_1x04_P2.50mm_Vertical</t>
  </si>
  <si>
    <t>https://www.digikey.jp/en/products/detail/jst-sales-america-inc/B4B-XH-A/1651047</t>
  </si>
  <si>
    <t>B4B-XH-A</t>
  </si>
  <si>
    <t>J6</t>
  </si>
  <si>
    <t>B2P-VH-B</t>
  </si>
  <si>
    <t>Connector Header Through Hole 2 position 0.100" (2.54mm)</t>
  </si>
  <si>
    <t>https://tools.molex.com/pdm_docs/sd/705430001_sd.pdf</t>
  </si>
  <si>
    <t>Connector_JST:JST_VH_B2P-VH-B_1x02_P3.96mm_Vertical</t>
  </si>
  <si>
    <t>https://www.digikey.jp/en/products/detail/jst-sales-america-inc/B2P-VH/926547</t>
  </si>
  <si>
    <t>B2P-VH</t>
  </si>
  <si>
    <t>J10,J11,J12,J13</t>
  </si>
  <si>
    <t>B7B-XH-A</t>
  </si>
  <si>
    <t>Connector Header Through Hole 7 position 0.098" (2.50mm)</t>
  </si>
  <si>
    <t>Connector_JST:JST_XH_B7B-XH-A_1x07_P2.50mm_Vertical_BAT_6S</t>
  </si>
  <si>
    <t>https://www.digikey.jp/en/products/detail/jst-sales-america-inc/B7B-XH-A/1651050</t>
  </si>
  <si>
    <t>Q1,Q14</t>
  </si>
  <si>
    <t>NSV1C201MZ4</t>
  </si>
  <si>
    <t>Bipolar (BJT) Transistor NPN 100 V 2 A 100MHz 800 mW Surface Mount SOT-223 (TO-261)</t>
  </si>
  <si>
    <t>https://www.onsemi.com/pdf/datasheet/nss1c201mz4-d.pdf</t>
  </si>
  <si>
    <t>Package_TO_SOT_SMD:SOT-223</t>
  </si>
  <si>
    <t>https://www.digikey.jp/en/products/detail/onsemi/NSV1C201MZ4T1G/4848737?s=N4IgTCBcDaIHIGUBqBGAwmADCgsgLQBYQBdAXyA</t>
  </si>
  <si>
    <t>NSV1C201MZ4T1G</t>
  </si>
  <si>
    <t>Q2,Q3,Q4,Q5,Q6,Q7,Q8,Q9,Q10,Q11,Q12,Q13,Q15,Q16,Q17,Q18,Q19,Q20,Q21,Q22,Q23,Q24,Q25,Q26</t>
  </si>
  <si>
    <t>TSM2323</t>
  </si>
  <si>
    <t>P-Channel 20 V 4.7A (Ta) 1.25W (Ta) Surface Mount SOT-23</t>
  </si>
  <si>
    <t>https://www.taiwansemi.com/assets/uploads/datasheet/TSM2323_F15.pdf</t>
  </si>
  <si>
    <t>Package_TO_SOT_SMD:SOT-23</t>
  </si>
  <si>
    <t>https://www.digikey.jp/en/products/detail/taiwan-semiconductor-corporation/TSM2323CX-RFG/7360264?s=N4IgTCBcDaICoGUCyYDMaDCANABAJQDEBxHEAXQF8g</t>
  </si>
  <si>
    <t xml:space="preserve">TSM2323CX RFG </t>
  </si>
  <si>
    <t>Q27,Q28,Q28</t>
  </si>
  <si>
    <t>SSM3J332R,LF</t>
  </si>
  <si>
    <t>P-MOSFET transistor, gate/source/drain</t>
  </si>
  <si>
    <t>https://toshiba.semicon-storage.com/info/SSM3J332R_datasheet_en_20250523.pdf?did=2620&amp;prodName=SSM3J332R</t>
  </si>
  <si>
    <t>PCM_Package_TO_SOT_SMD_AKL:TSOT-23</t>
  </si>
  <si>
    <t>https://www.digikey.jp/en/products/detail/toshiba-semiconductor-and-storage/SSM3J332R-LF/3522371</t>
  </si>
  <si>
    <t>R1,R2,R36,R37,R46,R49</t>
  </si>
  <si>
    <t>49.9R</t>
  </si>
  <si>
    <t>49.9 Ohms ±1% 0.1W, 1/10W Chip Resistor 0603 (1608 Metric) Automotive AEC-Q200 Thick Film</t>
  </si>
  <si>
    <t>https://industrial.panasonic.com/cdbs/www-data/pdf/RDA0000/AOA0000C304.pdf</t>
  </si>
  <si>
    <t>https://www.digikey.jp/en/products/detail/panasonic-electronic-components/ERJ-3EKF49R9V/196378</t>
  </si>
  <si>
    <t>ERJ-3EKF49R9V</t>
  </si>
  <si>
    <t>R3,R4,R5,R6,R7,R8,R9,R10,R11,R12R13,R14,R16,,R34,R102,R103,R104,R105,R144,R148,R149,R151</t>
  </si>
  <si>
    <t>10K</t>
  </si>
  <si>
    <t>10 kOhms ±1% 0.1W, 1/10W Chip Resistor 0603 (1608 Metric) Moisture Resistant Thick Film</t>
  </si>
  <si>
    <t>https://www.yageo.com/upload/media/product/products/datasheet/rchip/PYu-RC_Group_51_RoHS_L_12.pdf</t>
  </si>
  <si>
    <t>https://www.digikey.jp/en/products/detail/yageo/RC0603FR-0710KL/726880</t>
  </si>
  <si>
    <t>RC0603FR-0710KL</t>
  </si>
  <si>
    <t>R27,R33</t>
  </si>
  <si>
    <t>470R</t>
  </si>
  <si>
    <t>470 Ohms ±5% 0.1W, 1/10W Chip Resistor 0603 (1608 Metric) Moisture Resistant Thick Film</t>
  </si>
  <si>
    <t>https://www.digikey.jp/en/products/detail/yageo/RC0603JR-07470RL/726791?s=N4IgTCBcDaIEoGEAMA2JBmAUnAtEg7ACz5JwAyIAugL5A</t>
  </si>
  <si>
    <t>RC0603JR-07470RL</t>
  </si>
  <si>
    <t>R29,R32,R154,R155</t>
  </si>
  <si>
    <t>51R</t>
  </si>
  <si>
    <t>51 Ohms ±5% 0.1W, 1/10W Chip Resistor 0603 (1608 Metric) Moisture Resistant Thick Film</t>
  </si>
  <si>
    <t>https://www.yageo.com/upload/media/product/productsearch/datasheet/rchip/PYu-RC_Group_51_RoHS_L_12.pdf</t>
  </si>
  <si>
    <t>https://www.digikey.jp/en/products/detail/yageo/RC0603JR-0751RL/726803?s=N4IgTCBcDaIEoGEAMA2JBmAUnAtEg7AKwCMcAMiALoC%2BQA</t>
  </si>
  <si>
    <t>RC0603JR-0751RL</t>
  </si>
  <si>
    <t>R15,R17,R21,R35,R38,R42,R47,R97,R98</t>
  </si>
  <si>
    <t>1K</t>
  </si>
  <si>
    <t>1 kOhms ±1% 0.1W, 1/10W Chip Resistor 0603 (1608 Metric) Moisture Resistant Thick Film</t>
  </si>
  <si>
    <t>https://www.digikey.jp/en/products/detail/yageo/RC0603FR-071KL/726843</t>
  </si>
  <si>
    <t>RC0603FR-071KL</t>
  </si>
  <si>
    <t>R39</t>
  </si>
  <si>
    <t>2K</t>
  </si>
  <si>
    <t>2 kOhms ±1% 0.1W, 1/10W Chip Resistor 0603 (1608 Metric) Moisture Resistant Thick Film</t>
  </si>
  <si>
    <t>https://www.yageo.com/upload/media/product/app/datasheet/rchip/pyu-rc_group_51_rohs_l.pdf</t>
  </si>
  <si>
    <t>https://www.digikey.jp/en/products/detail/yageo/RC0603FR-072KL/727009?s=N4IgTCBcDaIEoGEAMA2JBmAYnAtEg7GANIAyIAugL5A</t>
  </si>
  <si>
    <t>RC0603FR-072KL</t>
  </si>
  <si>
    <t>R40,R41,R56,R59,R62,R65,R68,R71,R74,R77,R80,R83,R86,R89,R91,R92,R107,R110,R113,R116,R119,R122,R125,R128,R131,R134,R137,R140</t>
  </si>
  <si>
    <t>100R</t>
  </si>
  <si>
    <t>100 Ohms ±1% 0.1W, 1/10W Chip Resistor 0603 (1608 Metric) Moisture Resistant Thick Film</t>
  </si>
  <si>
    <t>https://www.digikey.jp/en/products/detail/yageo/RC0603FR-07100RL/726888?s=N4IgTCBcDaIEoGEAMA2JBmAYnAtEg7AIxJJwAyIAugL5A</t>
  </si>
  <si>
    <t>RC0603FR-07100RL</t>
  </si>
  <si>
    <t>R43,R45,R94,R96</t>
  </si>
  <si>
    <t>0 Ohms Jumper Chip Resistor 0603 (1608 Metric) Moisture Resistant Thick Film</t>
  </si>
  <si>
    <t>https://www.digikey.jp/en/products/detail/yageo/RC0603JR-070RL/726675?s=N4IgTCBcDaIEoGEAMA2JBmAUnAtEg7EnADIgC6AvkA</t>
  </si>
  <si>
    <t>RC0603JR-070RL</t>
  </si>
  <si>
    <t>R44,R95</t>
  </si>
  <si>
    <t>1M</t>
  </si>
  <si>
    <t>1 MOhms ±5% 0.1W, 1/10W Chip Resistor 0603 (1608 Metric) Moisture Resistant Thick Film</t>
  </si>
  <si>
    <t>https://www.digikey.jp/en/products/detail/yageo/RC0603JR-071ML/726678?s=N4IgTCBcDaIEoGEAMA2JBmAUnAtEg7AIwCyAMiALoC%2BQA</t>
  </si>
  <si>
    <t>RC0603JR-071ML</t>
  </si>
  <si>
    <t>R48,R99</t>
  </si>
  <si>
    <t>1.2K</t>
  </si>
  <si>
    <t>1.2 kOhms ±5% 0.1W, 1/10W Chip Resistor 0603 (1608 Metric) Moisture Resistant Thick Film</t>
  </si>
  <si>
    <t>https://www.digikey.jp/en/products/detail/yageo/RC0603JR-071K2L/726683?s=N4IgTCBcDaIEoGEAMA2JBmAUnAtEg7AIwDSYAMiALoC%2BQA</t>
  </si>
  <si>
    <t>RC0603JR-071K2L</t>
  </si>
  <si>
    <t>R55,R58,R61,R64,R67,R70,R73,R76,R79,R82,R85,R88,R106,R109,R112,R115,R118,R121,R124,R127,R130,R133,R136,R139</t>
  </si>
  <si>
    <t>36R 1W 2512</t>
  </si>
  <si>
    <t>36 Ohms ±5% 1W Chip Resistor 2512 (6432 Metric) Automotive AEC-Q200 Thick Film</t>
  </si>
  <si>
    <t>https://www.seielect.com/catalog/sei-rmcf_rmcp.pdf</t>
  </si>
  <si>
    <t>Resistor_SMD:R_2512_6332Metric</t>
  </si>
  <si>
    <t>https://www.digikey.jp/en/products/detail/stackpole-electronics-inc/RMCF2512JT36R0/1716346</t>
  </si>
  <si>
    <t>RTT25360JTE</t>
  </si>
  <si>
    <t>R57,R60,R63,R66,R69,R72,R75,R78,R81,R84,R87,R90,R108,R111,R114,R117,R120,R123,R126,R129,R132,R135,R138,R141</t>
  </si>
  <si>
    <t>3.3K</t>
  </si>
  <si>
    <t>3.3 kOhms ±1% 0.1W, 1/10W Chip Resistor 0603 (1608 Metric) Moisture Resistant Thick Film</t>
  </si>
  <si>
    <t>https://www.digikey.jp/en/products/detail/yageo/RC0603FR-073K3L/727126?s=N4IgTCBcDaIEoGEAMA2JBmAYnAtEg7OgNboAyIAugL5A</t>
  </si>
  <si>
    <t>RC0603FR-073K3L</t>
  </si>
  <si>
    <t>R153</t>
  </si>
  <si>
    <t>120R</t>
  </si>
  <si>
    <t>120 Ohms ±5% 0.1W, 1/10W Chip Resistor 0603 (1608 Metric) Moisture Resistant Thick Film</t>
  </si>
  <si>
    <t>https://www.digikey.jp/en/products/detail/yageo/RC0603JR-07120RL/726706</t>
  </si>
  <si>
    <t>RC0603JR-07120RL</t>
  </si>
  <si>
    <t>SW1</t>
  </si>
  <si>
    <t>218-8LPSTJ</t>
  </si>
  <si>
    <t>Dip Switch SPST 8 Position Surface Mount Slide (Standard) Actuator 25mA 24VDC</t>
  </si>
  <si>
    <t>https://www.ctscorp.com/Files/DataSheets/Switches/DIP-Switches/CTS-Switches-DIP-218-Series-Datasheet.pdf</t>
  </si>
  <si>
    <t>Button_Switch_SMD:SW_218-8LPSTJ_11.33×6.05_P1.27</t>
  </si>
  <si>
    <t>https://www.digikey.jp/en/products/detail/cts-electrocomponents/218-8LPSTJ/5223872</t>
  </si>
  <si>
    <t>TH1,TH6</t>
  </si>
  <si>
    <t>10K NTC SMD</t>
  </si>
  <si>
    <t>THERMISTOR NTC 10KOHM 3380K 0603</t>
  </si>
  <si>
    <t>https://www.murata.com/en-us/api/pdfdownloadapi?cate=luNTCforTempeSenso&amp;partno=NCU18XH103F6SRB</t>
  </si>
  <si>
    <t>https://www.digikey.jp/en/products/detail/murata-electronics/NCU18XH103F6SRB/7243451</t>
  </si>
  <si>
    <t>NCU18XH103F6SRB</t>
  </si>
  <si>
    <t>TH2,TH3,TH4,TH5,TH7,TH8,TH9,TH10</t>
  </si>
  <si>
    <t>10K NTC</t>
  </si>
  <si>
    <t>THERMISTOR NTC 10KOHM 3380K BEAD</t>
  </si>
  <si>
    <t>https://www.cantherm.com/wp-content/uploads/2017/05/cantherm_mf52_1.pdf</t>
  </si>
  <si>
    <t>Resistor_THT:R_Axial_DIN0204_L3.6mm_D1.6mm_P1.90mm_Vertical</t>
  </si>
  <si>
    <t>https://www.digikey.jp/en/products/detail/cantherm/MF52C1103F3380/1840604</t>
  </si>
  <si>
    <t>MF52C1103F3380</t>
  </si>
  <si>
    <t>TR1,TR3,TR7</t>
  </si>
  <si>
    <t>HM2108NL</t>
  </si>
  <si>
    <t>135uH Pulse Transformer Surface Mount</t>
  </si>
  <si>
    <t>https://productfinder.pulseelectronics.com/api/open/part-attachments/datasheet/HM2108NL</t>
  </si>
  <si>
    <t>Transformer_SMD:HM2108NL</t>
  </si>
  <si>
    <t>https://www.digikey.jp/en/products/detail/pulse-electronics/HM2108NL/7914611</t>
  </si>
  <si>
    <t>U1</t>
  </si>
  <si>
    <t>MCP23017T-E/SS</t>
  </si>
  <si>
    <t>I/O Expander 16 I2C 1.7 MHz 28-SSOP</t>
  </si>
  <si>
    <t>https://ww1.microchip.com/downloads/aemDocuments/documents/APID/ProductDocuments/DataSheets/MCP23017-Data-Sheet-DS20001952.pdf</t>
  </si>
  <si>
    <t>Package_SO:SSOP-28_5.3x10.2mm_P0.65mm</t>
  </si>
  <si>
    <t>https://www.digikey.jp/en/products/detail/microchip-technology/MCP23017T-E-SS/964185</t>
  </si>
  <si>
    <t>U2</t>
  </si>
  <si>
    <t>MCP2562T-E/SN</t>
  </si>
  <si>
    <t>1/1 Transceiver Half CANbus 8-SOIC</t>
  </si>
  <si>
    <t>https://ww1.microchip.com/downloads/en/DeviceDoc/20005167C.pdf</t>
  </si>
  <si>
    <t>Package_SO:SOIC-8_3.9x4.9mm_P1.27mm</t>
  </si>
  <si>
    <t>https://www.digikey.jp/en/products/detail/microchip-technology/MCP2562T-E-SN/4079891</t>
  </si>
  <si>
    <t>U3</t>
  </si>
  <si>
    <t>BD33FC0FP-E2</t>
  </si>
  <si>
    <t>Linear Voltage Regulator IC Positive Fixed 1 Output 1A TO-252</t>
  </si>
  <si>
    <t>https://fscdn.rohm.com/en/products/databook/datasheet/ic/power/linear_regulator/bdxxfc0wefj-e.pdf</t>
  </si>
  <si>
    <t>Package_TO_SOT_SMD:TO252-3_ROM</t>
  </si>
  <si>
    <t>https://www.digikey.jp/en/products/detail/rohm-semiconductor/BD33FC0FP-E2/7896452?s=N4IgTCBcDaIEIBEDMSBiBhADKgCgWgFEIBdAXyA</t>
  </si>
  <si>
    <t>U4</t>
  </si>
  <si>
    <t>BD50FC0FP-E2</t>
  </si>
  <si>
    <t>https://www.digikey.jp/en/products/detail/rohm-semiconductor/BD50FC0FP-E2/7896453?s=N4IgTCBcDaIEIBECsAGAYgYXQBQLQFEIBdAXyA</t>
  </si>
  <si>
    <t>U5,U6,U7</t>
  </si>
  <si>
    <t>TLP291</t>
  </si>
  <si>
    <t>Optoisolator Transistor Output 3750Vrms 1 Channel 4-SO</t>
  </si>
  <si>
    <t>https://toshiba.semicon-storage.com/info/TLP291%28SE_datasheet_en_20190708.pdf?did=14152&amp;prodName=TLP291(SE</t>
  </si>
  <si>
    <t>Package_SO:SOIC-4_4.55x2.6mm_P1.27mm</t>
  </si>
  <si>
    <t>https://www.digikey.jp/en/products/detail/toshiba-semiconductor-and-storage/TLP291-GR-TP-SE/4562877</t>
  </si>
  <si>
    <t>TLP291(GR-TP,SE</t>
  </si>
  <si>
    <t>U8</t>
  </si>
  <si>
    <t>ESP32-DevKitC V4</t>
  </si>
  <si>
    <t>- ESP32-WROOM-32E Transceiver; 802.11 b/g/n (Wi-Fi, WiFi, WLAN), Bluetooth庐 Smart Ready 4.x Dual Mode 2.4GHz Evaluation Board</t>
  </si>
  <si>
    <t>https://mm.digikey.com/Volume0/opasdata/d220001/medias/docus/754/ESP32-DevKitC_GSG_Ver1.4_2017.pdf</t>
  </si>
  <si>
    <t>RF_Module:ESP32-DevKitc V4_DIP-38_27.9mm脳48.2mm</t>
  </si>
  <si>
    <t>https://www.digikey.jp/en/products/detail/espressif-systems/ESP32-DEVKITC-32E/12091810</t>
  </si>
  <si>
    <t>ESP32-DEVKITC-32E</t>
  </si>
  <si>
    <t>U9</t>
  </si>
  <si>
    <t>LTC6820</t>
  </si>
  <si>
    <t>Isolated Communications Interface Interface 16-MSOP</t>
  </si>
  <si>
    <t>https://www.analog.com/media/en/technical-documentation/data-sheets/LTC6820.pdf</t>
  </si>
  <si>
    <t>Package_SO:MSOP-16_3x4mm_P0.5mm</t>
  </si>
  <si>
    <t>https://www.digikey.jp/en/products/detail/analog-devices-inc/LTC6820IMS-PBF/3838555?s=N4IgTCBcDaIDIBUDCA2AHGADASQLIGUBiABQCEAxAAhAF0BfIA</t>
  </si>
  <si>
    <t xml:space="preserve">LTC6820IMS#PBF </t>
  </si>
  <si>
    <t>U11,U12</t>
  </si>
  <si>
    <t>LTC6811HG-1</t>
  </si>
  <si>
    <t>Battery Battery Monitor IC Multi-Chemistry 48-SSOP</t>
  </si>
  <si>
    <t>https://www.analog.com/media/en/technical-documentation/data-sheets/LTC6811-1-6811-2.pdf</t>
  </si>
  <si>
    <t>Package_SO:TSSOP-48_6.1x12.5mm_P0.5mm</t>
  </si>
  <si>
    <t>https://www.digikey.jp/en/products/detail/analog-devices-inc/LTC6811HG-1-3ZZPBF/9739208?s=N4IgTCBcDaIDIBUDCA2AHARgwCQOIFoMBiAZgC0yAFAIQDEQBdAXyA</t>
  </si>
  <si>
    <t>LTC6811HG-1#3ZZPBF</t>
  </si>
  <si>
    <t>B2B-ZR</t>
  </si>
  <si>
    <t>Connector Header Through Hole 2 position 0.059" (1.50mm)</t>
  </si>
  <si>
    <t>https://www.jst-mfg.com/product/pdf/eng/eZH.pdf</t>
  </si>
  <si>
    <t>Connector_JST:JST_ZR_B2B-ZR_1x02_P1.50mm_Vertical</t>
  </si>
  <si>
    <t>https://www.digikey.jp/en/products/detail/jst-sales-america-inc/B2B-ZR/926564</t>
  </si>
  <si>
    <t>ZHR-2</t>
  </si>
  <si>
    <t>2 Rectangular Connectors - Housings Receptacle Natural 0.059" (1.50mm)</t>
  </si>
  <si>
    <t>https://www.digikey.jp/en/products/detail/jst-sales-america-inc/ZHR-2/566476</t>
  </si>
  <si>
    <t>SZH-003T-P0.5</t>
  </si>
  <si>
    <t>CONN SOCKET 28-32AWG CRIMP TIN</t>
  </si>
  <si>
    <t>https://www.jst.com/wp-content/uploads/2025/06/eZM.pdf</t>
  </si>
  <si>
    <t>https://www.digikey.jp/en/products/detail/jst-sales-america-inc/SZH-003T-P0-5/608722</t>
  </si>
  <si>
    <t>PCB</t>
  </si>
  <si>
    <t>200mm*55mm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</si>
</sst>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6" applyAlignment="1">
      <alignment horizontal="center" vertical="center" wrapText="1"/>
    </xf>
    <xf numFmtId="0" fontId="3" fillId="0" borderId="0" xfId="6" applyFont="1" applyAlignment="1">
      <alignment horizontal="center" vertical="center" wrapText="1"/>
    </xf>
    <xf numFmtId="0" fontId="4" fillId="0" borderId="0" xfId="6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digikey.jp/en/products/detail/liteon/LTST-C190KRKT/386817" TargetMode="External"/><Relationship Id="rId8" Type="http://schemas.openxmlformats.org/officeDocument/2006/relationships/hyperlink" Target="https://www.digikey.jp/en/products/detail/samsung-electro-mechanics/CL10A475KO8NNNC/3887442?s=N4IgTCBcDaIMIBkCMAGAggFgOwFYDSA8gBwByZcIAugL5A" TargetMode="External"/><Relationship Id="rId7" Type="http://schemas.openxmlformats.org/officeDocument/2006/relationships/hyperlink" Target="https://www.digikey.jp/en/products/detail/samsung-electro-mechanics/CL10B105KA8NNNC/3886842" TargetMode="External"/><Relationship Id="rId6" Type="http://schemas.openxmlformats.org/officeDocument/2006/relationships/hyperlink" Target="https://www.digikey.jp/en/products/detail/kemet/C0603X103K1RAC3316/10315782" TargetMode="External"/><Relationship Id="rId58" Type="http://schemas.openxmlformats.org/officeDocument/2006/relationships/hyperlink" Target="https://www.jst-mfg.com/product/pdf/eng/eXH.pdf" TargetMode="External"/><Relationship Id="rId57" Type="http://schemas.openxmlformats.org/officeDocument/2006/relationships/hyperlink" Target="https://www.digikey.jp/en/products/detail/jst-sales-america-inc/B6B-XH-A/1000381" TargetMode="External"/><Relationship Id="rId56" Type="http://schemas.openxmlformats.org/officeDocument/2006/relationships/hyperlink" Target="https://www.jst.com/wp-content/uploads/2025/06/eZM.pdf" TargetMode="External"/><Relationship Id="rId55" Type="http://schemas.openxmlformats.org/officeDocument/2006/relationships/hyperlink" Target="https://www.digikey.jp/en/products/detail/jst-sales-america-inc/SZH-003T-P0-5/608722" TargetMode="External"/><Relationship Id="rId54" Type="http://schemas.openxmlformats.org/officeDocument/2006/relationships/hyperlink" Target="https://www.digikey.jp/en/products/detail/jst-sales-america-inc/ZHR-2/566476" TargetMode="External"/><Relationship Id="rId53" Type="http://schemas.openxmlformats.org/officeDocument/2006/relationships/hyperlink" Target="https://www.jst-mfg.com/product/pdf/eng/eZH.pdf" TargetMode="External"/><Relationship Id="rId52" Type="http://schemas.openxmlformats.org/officeDocument/2006/relationships/hyperlink" Target="https://www.digikey.jp/en/products/detail/jst-sales-america-inc/B2B-ZR/926564" TargetMode="External"/><Relationship Id="rId51" Type="http://schemas.openxmlformats.org/officeDocument/2006/relationships/hyperlink" Target="https://www.digikey.jp/en/products/detail/cts-electrocomponents/218-8LPSTJ/5223872" TargetMode="External"/><Relationship Id="rId50" Type="http://schemas.openxmlformats.org/officeDocument/2006/relationships/hyperlink" Target="https://www.ctscorp.com/Files/DataSheets/Switches/DIP-Switches/CTS-Switches-DIP-218-Series-Datasheet.pdf" TargetMode="External"/><Relationship Id="rId5" Type="http://schemas.openxmlformats.org/officeDocument/2006/relationships/hyperlink" Target="https://www.digikey.jp/en/products/detail/kemet/C0603C102K4RECAUTO/8640472" TargetMode="External"/><Relationship Id="rId49" Type="http://schemas.openxmlformats.org/officeDocument/2006/relationships/hyperlink" Target="https://www.digikey.jp/en/products/detail/microchip-technology/MCP23017T-E-SS/964185" TargetMode="External"/><Relationship Id="rId48" Type="http://schemas.openxmlformats.org/officeDocument/2006/relationships/hyperlink" Target="https://ww1.microchip.com/downloads/aemDocuments/documents/APID/ProductDocuments/DataSheets/MCP23017-Data-Sheet-DS20001952.pdf" TargetMode="External"/><Relationship Id="rId47" Type="http://schemas.openxmlformats.org/officeDocument/2006/relationships/hyperlink" Target="https://www.digikey.jp/en/products/detail/toshiba-semiconductor-and-storage/SSM3J332R-LF/3522371" TargetMode="External"/><Relationship Id="rId46" Type="http://schemas.openxmlformats.org/officeDocument/2006/relationships/hyperlink" Target="https://toshiba.semicon-storage.com/info/SSM3J332R_datasheet_en_20250523.pdf?did=2620&amp;prodName=SSM3J332R" TargetMode="External"/><Relationship Id="rId45" Type="http://schemas.openxmlformats.org/officeDocument/2006/relationships/hyperlink" Target="https://www.digikey.jp/en/products/detail/semitec-usa-corp/S-562T/16578981" TargetMode="External"/><Relationship Id="rId44" Type="http://schemas.openxmlformats.org/officeDocument/2006/relationships/hyperlink" Target="https://www.semitec-global.com/uploads/2022/01/P22-23-CRD.pdf" TargetMode="External"/><Relationship Id="rId43" Type="http://schemas.openxmlformats.org/officeDocument/2006/relationships/hyperlink" Target="https://www.digikey.jp/en/products/detail/toshiba-semiconductor-and-storage/TLP291-GR-TP-SE/4562877" TargetMode="External"/><Relationship Id="rId42" Type="http://schemas.openxmlformats.org/officeDocument/2006/relationships/hyperlink" Target="https://toshiba.semicon-storage.com/info/TLP291%28SE_datasheet_en_20190708.pdf?did=14152&amp;prodName=TLP291(SE" TargetMode="External"/><Relationship Id="rId41" Type="http://schemas.openxmlformats.org/officeDocument/2006/relationships/hyperlink" Target="https://www.digikey.jp/en/products/detail/analog-devices-inc/LTC6811HG-1-3ZZPBF/9739208?s=N4IgTCBcDaIDIBUDCA2AHARgwCQOIFoMBiAZgC0yAFAIQDEQBdAXyA" TargetMode="External"/><Relationship Id="rId40" Type="http://schemas.openxmlformats.org/officeDocument/2006/relationships/hyperlink" Target="https://www.digikey.jp/en/products/detail/analog-devices-inc/LTC6820IMS-PBF/3838555?s=N4IgTCBcDaIDIBUDCA2AHGADASQLIGUBiABQCEAxAAhAF0BfIA" TargetMode="External"/><Relationship Id="rId4" Type="http://schemas.openxmlformats.org/officeDocument/2006/relationships/hyperlink" Target="https://www.digikey.jp/en/products/detail/murata-electronics/GRM188R61E225KA12D/4905349" TargetMode="External"/><Relationship Id="rId39" Type="http://schemas.openxmlformats.org/officeDocument/2006/relationships/hyperlink" Target="https://www.digikey.jp/en/products/detail/espressif-systems/ESP32-DEVKITC-32E/12091810" TargetMode="External"/><Relationship Id="rId38" Type="http://schemas.openxmlformats.org/officeDocument/2006/relationships/hyperlink" Target="https://www.digikey.jp/en/products/detail/rohm-semiconductor/BD50FC0FP-E2/7896453?s=N4IgTCBcDaIEIBECsAGAYgYXQBQLQFEIBdAXyA" TargetMode="External"/><Relationship Id="rId37" Type="http://schemas.openxmlformats.org/officeDocument/2006/relationships/hyperlink" Target="https://www.digikey.jp/en/products/detail/rohm-semiconductor/BD33FC0FP-E2/7896452?s=N4IgTCBcDaIEIBEDMSBiBhADKgCgWgFEIBdAXyA" TargetMode="External"/><Relationship Id="rId36" Type="http://schemas.openxmlformats.org/officeDocument/2006/relationships/hyperlink" Target="https://www.digikey.jp/en/products/detail/microchip-technology/MCP2562T-E-SN/4079891" TargetMode="External"/><Relationship Id="rId35" Type="http://schemas.openxmlformats.org/officeDocument/2006/relationships/hyperlink" Target="https://www.digikey.jp/en/products/detail/pulse-electronics/HM2108NL/7914611" TargetMode="External"/><Relationship Id="rId34" Type="http://schemas.openxmlformats.org/officeDocument/2006/relationships/hyperlink" Target="https://www.digikey.jp/en/products/detail/cantherm/MF52C1103F3380/1840604" TargetMode="External"/><Relationship Id="rId33" Type="http://schemas.openxmlformats.org/officeDocument/2006/relationships/hyperlink" Target="https://www.digikey.jp/en/products/detail/murata-electronics/NCU18XH103F6SRB/7243451" TargetMode="External"/><Relationship Id="rId32" Type="http://schemas.openxmlformats.org/officeDocument/2006/relationships/hyperlink" Target="https://www.digikey.jp/en/products/detail/yageo/RC0603JR-07120RL/726706" TargetMode="External"/><Relationship Id="rId31" Type="http://schemas.openxmlformats.org/officeDocument/2006/relationships/hyperlink" Target="https://www.digikey.jp/en/products/detail/yageo/RC0603FR-073K3L/727126?s=N4IgTCBcDaIEoGEAMA2JBmAYnAtEg7OgNboAyIAugL5A" TargetMode="External"/><Relationship Id="rId30" Type="http://schemas.openxmlformats.org/officeDocument/2006/relationships/hyperlink" Target="https://www.digikey.jp/en/products/detail/stackpole-electronics-inc/RMCF2512JT36R0/1716346" TargetMode="External"/><Relationship Id="rId3" Type="http://schemas.openxmlformats.org/officeDocument/2006/relationships/hyperlink" Target="https://www.digikey.jp/en/products/detail/samsung-electro-mechanics/CL10B104KC8NNNC/5961291?s=N4IgTCBcDaIMIBkCMAGAQqgLAaTgDgDki4QBdAXyA" TargetMode="External"/><Relationship Id="rId29" Type="http://schemas.openxmlformats.org/officeDocument/2006/relationships/hyperlink" Target="https://www.digikey.jp/en/products/detail/yageo/RC0603JR-071K2L/726683?s=N4IgTCBcDaIEoGEAMA2JBmAUnAtEg7AIwDSYAMiALoC%2BQA" TargetMode="External"/><Relationship Id="rId28" Type="http://schemas.openxmlformats.org/officeDocument/2006/relationships/hyperlink" Target="https://www.digikey.jp/en/products/detail/yageo/RC0603JR-071ML/726678?s=N4IgTCBcDaIEoGEAMA2JBmAUnAtEg7AIwCyAMiALoC%2BQA" TargetMode="External"/><Relationship Id="rId27" Type="http://schemas.openxmlformats.org/officeDocument/2006/relationships/hyperlink" Target="https://www.digikey.jp/en/products/detail/yageo/RC0603JR-070RL/726675?s=N4IgTCBcDaIEoGEAMA2JBmAUnAtEg7EnADIgC6AvkA" TargetMode="External"/><Relationship Id="rId26" Type="http://schemas.openxmlformats.org/officeDocument/2006/relationships/hyperlink" Target="https://www.digikey.jp/en/products/detail/yageo/RC0603FR-07100RL/726888?s=N4IgTCBcDaIEoGEAMA2JBmAYnAtEg7AIxJJwAyIAugL5A" TargetMode="External"/><Relationship Id="rId25" Type="http://schemas.openxmlformats.org/officeDocument/2006/relationships/hyperlink" Target="https://www.digikey.jp/en/products/detail/yageo/RC0603FR-072KL/727009?s=N4IgTCBcDaIEoGEAMA2JBmAYnAtEg7GANIAyIAugL5A" TargetMode="External"/><Relationship Id="rId24" Type="http://schemas.openxmlformats.org/officeDocument/2006/relationships/hyperlink" Target="https://www.digikey.jp/en/products/detail/yageo/RC0603FR-071KL/726843" TargetMode="External"/><Relationship Id="rId23" Type="http://schemas.openxmlformats.org/officeDocument/2006/relationships/hyperlink" Target="https://www.digikey.jp/en/products/detail/yageo/RC0603JR-0751RL/726803?s=N4IgTCBcDaIEoGEAMA2JBmAUnAtEg7AKwCMcAMiALoC%2BQA" TargetMode="External"/><Relationship Id="rId22" Type="http://schemas.openxmlformats.org/officeDocument/2006/relationships/hyperlink" Target="https://www.digikey.jp/en/products/detail/yageo/RC0603JR-07470RL/726791?s=N4IgTCBcDaIEoGEAMA2JBmAUnAtEg7ACz5JwAyIAugL5A" TargetMode="External"/><Relationship Id="rId21" Type="http://schemas.openxmlformats.org/officeDocument/2006/relationships/hyperlink" Target="https://www.digikey.jp/en/products/detail/yageo/RC0603FR-0710KL/726880" TargetMode="External"/><Relationship Id="rId20" Type="http://schemas.openxmlformats.org/officeDocument/2006/relationships/hyperlink" Target="https://www.digikey.jp/en/products/detail/panasonic-electronic-components/ERJ-3EKF49R9V/196378" TargetMode="External"/><Relationship Id="rId2" Type="http://schemas.openxmlformats.org/officeDocument/2006/relationships/hyperlink" Target="https://search.murata.co.jp/Ceramy/image/img/A01X/G101/ENG/GRM188R61E225KA12-01.pdf" TargetMode="External"/><Relationship Id="rId19" Type="http://schemas.openxmlformats.org/officeDocument/2006/relationships/hyperlink" Target="https://www.digikey.jp/en/products/detail/taiwan-semiconductor-corporation/TSM2323CX-RFG/7360264?s=N4IgTCBcDaICoGUCyYDMaDCANABAJQDEBxHEAXQF8g" TargetMode="External"/><Relationship Id="rId18" Type="http://schemas.openxmlformats.org/officeDocument/2006/relationships/hyperlink" Target="https://www.digikey.jp/en/products/detail/onsemi/NSV1C201MZ4T1G/4848737?s=N4IgTCBcDaIHIGUBqBGAwmADCgsgLQBYQBdAXyA" TargetMode="External"/><Relationship Id="rId17" Type="http://schemas.openxmlformats.org/officeDocument/2006/relationships/hyperlink" Target="https://www.digikey.jp/en/products/detail/jst-sales-america-inc/B7B-XH-A/1651050" TargetMode="External"/><Relationship Id="rId16" Type="http://schemas.openxmlformats.org/officeDocument/2006/relationships/hyperlink" Target="https://www.digikey.jp/en/products/detail/jst-sales-america-inc/B2P-VH/926547" TargetMode="External"/><Relationship Id="rId15" Type="http://schemas.openxmlformats.org/officeDocument/2006/relationships/hyperlink" Target="https://www.digikey.jp/en/products/detail/jst-sales-america-inc/B4B-XH-A/1651047" TargetMode="External"/><Relationship Id="rId14" Type="http://schemas.openxmlformats.org/officeDocument/2006/relationships/hyperlink" Target="https://www.digikey.jp/en/products/detail/murata-electronics/BLM18PG330SN1D/1948325?s=N4IgTCBcDaIEIBkCyBGAHABQOIGYcAYBlAORQBEQBdAXyA" TargetMode="External"/><Relationship Id="rId13" Type="http://schemas.openxmlformats.org/officeDocument/2006/relationships/hyperlink" Target="https://www.digikey.jp/en/products/detail/tdk-corporation/MPZ2012S102ATD25/5040327?s=N4IgTCBcDaILIAUBaYAMBGMBldqwEEAVAETAFYQBdAXyA" TargetMode="External"/><Relationship Id="rId12" Type="http://schemas.openxmlformats.org/officeDocument/2006/relationships/hyperlink" Target="https://www.digikey.jp/en/products/detail/nexperia-usa-inc/PDZ7-5BZ/7495708" TargetMode="External"/><Relationship Id="rId11" Type="http://schemas.openxmlformats.org/officeDocument/2006/relationships/hyperlink" Target="https://www.digikey.jp/en/products/detail/nexperia-usa-inc/BZT52H-C62-115/1162867" TargetMode="External"/><Relationship Id="rId10" Type="http://schemas.openxmlformats.org/officeDocument/2006/relationships/hyperlink" Target="https://www.digikey.jp/en/products/detail/diodes-incorporated/1N4148W-7-F/814371" TargetMode="External"/><Relationship Id="rId1" Type="http://schemas.openxmlformats.org/officeDocument/2006/relationships/hyperlink" Target="https://www.digikey.jp/en/products/detail/samsung-electro-mechanics/CL10B104KC8NNNC/5961291?s=N4IgTCBcDaIMIBkCMAGAQqgLAaTgDgDki4AdEkAXQF8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tabSelected="1" topLeftCell="A6" workbookViewId="0">
      <selection activeCell="J13" sqref="J13"/>
    </sheetView>
  </sheetViews>
  <sheetFormatPr defaultColWidth="21.625" defaultRowHeight="13.5"/>
  <cols>
    <col min="1" max="1" width="5.25" style="3" customWidth="1"/>
    <col min="2" max="2" width="6.125" style="3" customWidth="1"/>
    <col min="3" max="3" width="27.25" style="3" customWidth="1"/>
    <col min="4" max="4" width="15.5" style="3" customWidth="1"/>
    <col min="5" max="5" width="21.625" style="3" customWidth="1"/>
    <col min="6" max="6" width="44" style="3" customWidth="1"/>
    <col min="7" max="7" width="19.875" style="3" customWidth="1"/>
    <col min="8" max="8" width="40.375" style="3" customWidth="1"/>
    <col min="9" max="9" width="21.625" style="3" customWidth="1"/>
    <col min="10" max="10" width="10.375" style="3" customWidth="1"/>
    <col min="11" max="11" width="9.625" style="3" customWidth="1"/>
    <col min="12" max="16384" width="21.625" style="3"/>
  </cols>
  <sheetData>
    <row r="1" ht="27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8" t="s">
        <v>9</v>
      </c>
      <c r="K1" s="8" t="s">
        <v>10</v>
      </c>
    </row>
    <row r="2" ht="94.5" spans="1:11">
      <c r="A2" s="3">
        <v>1</v>
      </c>
      <c r="B2" s="3">
        <v>44</v>
      </c>
      <c r="C2" s="3" t="s">
        <v>11</v>
      </c>
      <c r="D2" s="3" t="s">
        <v>12</v>
      </c>
      <c r="E2" s="3" t="s">
        <v>13</v>
      </c>
      <c r="F2" s="4" t="s">
        <v>14</v>
      </c>
      <c r="G2" s="3" t="s">
        <v>15</v>
      </c>
      <c r="H2" s="5" t="s">
        <v>16</v>
      </c>
      <c r="I2" s="7" t="s">
        <v>17</v>
      </c>
      <c r="J2" s="3">
        <v>0.0063</v>
      </c>
      <c r="K2" s="3">
        <f t="shared" ref="K2:K7" si="0">J2*B2</f>
        <v>0.2772</v>
      </c>
    </row>
    <row r="3" ht="40.5" spans="1:11">
      <c r="A3" s="3">
        <v>2</v>
      </c>
      <c r="B3" s="3">
        <v>2</v>
      </c>
      <c r="C3" s="3" t="s">
        <v>18</v>
      </c>
      <c r="D3" s="3" t="s">
        <v>19</v>
      </c>
      <c r="E3" s="3" t="s">
        <v>20</v>
      </c>
      <c r="F3" s="4" t="s">
        <v>21</v>
      </c>
      <c r="G3" s="3" t="s">
        <v>15</v>
      </c>
      <c r="H3" s="5" t="s">
        <v>22</v>
      </c>
      <c r="I3" s="3" t="s">
        <v>23</v>
      </c>
      <c r="J3" s="3">
        <v>0.0063</v>
      </c>
      <c r="K3" s="3">
        <f t="shared" si="0"/>
        <v>0.0126</v>
      </c>
    </row>
    <row r="4" ht="54" spans="1:11">
      <c r="A4" s="3">
        <v>3</v>
      </c>
      <c r="B4" s="3">
        <v>2</v>
      </c>
      <c r="C4" s="3" t="s">
        <v>24</v>
      </c>
      <c r="D4" s="3" t="s">
        <v>25</v>
      </c>
      <c r="E4" s="3" t="s">
        <v>26</v>
      </c>
      <c r="F4" s="4" t="s">
        <v>27</v>
      </c>
      <c r="G4" s="3" t="s">
        <v>15</v>
      </c>
      <c r="H4" s="5" t="s">
        <v>28</v>
      </c>
      <c r="I4" s="3" t="s">
        <v>29</v>
      </c>
      <c r="J4" s="3">
        <v>0.0063</v>
      </c>
      <c r="K4" s="3">
        <f t="shared" si="0"/>
        <v>0.0126</v>
      </c>
    </row>
    <row r="5" ht="40.5" spans="1:11">
      <c r="A5" s="3">
        <v>4</v>
      </c>
      <c r="B5" s="3">
        <v>10</v>
      </c>
      <c r="C5" s="3" t="s">
        <v>30</v>
      </c>
      <c r="D5" s="3" t="s">
        <v>31</v>
      </c>
      <c r="E5" s="3" t="s">
        <v>32</v>
      </c>
      <c r="F5" s="4" t="s">
        <v>33</v>
      </c>
      <c r="G5" s="3" t="s">
        <v>15</v>
      </c>
      <c r="H5" s="5" t="s">
        <v>34</v>
      </c>
      <c r="I5" s="3" t="s">
        <v>35</v>
      </c>
      <c r="J5" s="3">
        <v>0.0063</v>
      </c>
      <c r="K5" s="3">
        <f t="shared" si="0"/>
        <v>0.063</v>
      </c>
    </row>
    <row r="6" ht="40.5" spans="1:11">
      <c r="A6" s="3">
        <v>5</v>
      </c>
      <c r="B6" s="3">
        <v>7</v>
      </c>
      <c r="C6" s="3" t="s">
        <v>36</v>
      </c>
      <c r="D6" s="3" t="s">
        <v>37</v>
      </c>
      <c r="E6" s="3" t="s">
        <v>38</v>
      </c>
      <c r="F6" s="4" t="s">
        <v>39</v>
      </c>
      <c r="G6" s="3" t="s">
        <v>15</v>
      </c>
      <c r="H6" s="5" t="s">
        <v>40</v>
      </c>
      <c r="I6" s="3" t="s">
        <v>41</v>
      </c>
      <c r="J6" s="3">
        <v>0.0063</v>
      </c>
      <c r="K6" s="3">
        <f t="shared" si="0"/>
        <v>0.0441</v>
      </c>
    </row>
    <row r="7" ht="67.5" spans="1:11">
      <c r="A7" s="3">
        <v>6</v>
      </c>
      <c r="B7" s="3">
        <v>2</v>
      </c>
      <c r="C7" s="3" t="s">
        <v>42</v>
      </c>
      <c r="D7" s="3" t="s">
        <v>43</v>
      </c>
      <c r="E7" s="3" t="s">
        <v>44</v>
      </c>
      <c r="F7" s="4" t="s">
        <v>45</v>
      </c>
      <c r="G7" s="3" t="s">
        <v>15</v>
      </c>
      <c r="H7" s="5" t="s">
        <v>46</v>
      </c>
      <c r="I7" s="3" t="s">
        <v>47</v>
      </c>
      <c r="J7" s="3">
        <v>0.0063</v>
      </c>
      <c r="K7" s="3">
        <f t="shared" si="0"/>
        <v>0.0126</v>
      </c>
    </row>
    <row r="8" s="1" customFormat="1" ht="27" spans="1:9">
      <c r="A8" s="3">
        <v>7</v>
      </c>
      <c r="B8" s="1">
        <v>3</v>
      </c>
      <c r="C8" s="1" t="s">
        <v>48</v>
      </c>
      <c r="D8" s="1" t="s">
        <v>49</v>
      </c>
      <c r="E8" s="1" t="s">
        <v>50</v>
      </c>
      <c r="F8" s="6" t="s">
        <v>51</v>
      </c>
      <c r="G8" s="1" t="s">
        <v>52</v>
      </c>
      <c r="H8" s="6" t="s">
        <v>53</v>
      </c>
      <c r="I8" s="1" t="s">
        <v>49</v>
      </c>
    </row>
    <row r="9" ht="40.5" spans="1:11">
      <c r="A9" s="3">
        <v>8</v>
      </c>
      <c r="B9" s="3">
        <v>4</v>
      </c>
      <c r="C9" s="3" t="s">
        <v>54</v>
      </c>
      <c r="D9" s="3" t="s">
        <v>55</v>
      </c>
      <c r="E9" s="3" t="s">
        <v>56</v>
      </c>
      <c r="F9" s="4" t="s">
        <v>57</v>
      </c>
      <c r="G9" s="3" t="s">
        <v>58</v>
      </c>
      <c r="H9" s="5" t="s">
        <v>59</v>
      </c>
      <c r="I9" s="7" t="s">
        <v>60</v>
      </c>
      <c r="J9" s="3">
        <v>0.028</v>
      </c>
      <c r="K9" s="3">
        <f t="shared" ref="K9:K14" si="1">J9*B9</f>
        <v>0.112</v>
      </c>
    </row>
    <row r="10" ht="40.5" spans="1:11">
      <c r="A10" s="3">
        <v>9</v>
      </c>
      <c r="B10" s="3">
        <v>4</v>
      </c>
      <c r="C10" s="3" t="s">
        <v>61</v>
      </c>
      <c r="D10" s="3" t="s">
        <v>62</v>
      </c>
      <c r="E10" s="3" t="s">
        <v>63</v>
      </c>
      <c r="F10" s="4" t="s">
        <v>64</v>
      </c>
      <c r="G10" s="3" t="s">
        <v>65</v>
      </c>
      <c r="H10" s="5" t="s">
        <v>66</v>
      </c>
      <c r="I10" s="7" t="s">
        <v>67</v>
      </c>
      <c r="J10" s="3">
        <v>0.01</v>
      </c>
      <c r="K10" s="3">
        <f t="shared" si="1"/>
        <v>0.04</v>
      </c>
    </row>
    <row r="11" ht="40.5" spans="1:11">
      <c r="A11" s="3">
        <v>10</v>
      </c>
      <c r="B11" s="3">
        <v>2</v>
      </c>
      <c r="C11" s="3" t="s">
        <v>68</v>
      </c>
      <c r="D11" s="3" t="s">
        <v>69</v>
      </c>
      <c r="E11" s="3" t="s">
        <v>70</v>
      </c>
      <c r="F11" s="4" t="s">
        <v>71</v>
      </c>
      <c r="G11" s="3" t="s">
        <v>52</v>
      </c>
      <c r="H11" s="5" t="s">
        <v>72</v>
      </c>
      <c r="I11" s="7" t="s">
        <v>73</v>
      </c>
      <c r="J11" s="3">
        <v>0.0098</v>
      </c>
      <c r="K11" s="3">
        <f t="shared" si="1"/>
        <v>0.0196</v>
      </c>
    </row>
    <row r="12" ht="54" spans="1:11">
      <c r="A12" s="3">
        <v>11</v>
      </c>
      <c r="B12" s="3">
        <v>24</v>
      </c>
      <c r="C12" s="3" t="s">
        <v>74</v>
      </c>
      <c r="D12" s="3" t="s">
        <v>75</v>
      </c>
      <c r="E12" s="3" t="s">
        <v>76</v>
      </c>
      <c r="F12" s="4" t="s">
        <v>77</v>
      </c>
      <c r="G12" s="3" t="s">
        <v>78</v>
      </c>
      <c r="H12" s="5" t="s">
        <v>79</v>
      </c>
      <c r="I12" s="7" t="s">
        <v>80</v>
      </c>
      <c r="J12" s="3">
        <v>0.001</v>
      </c>
      <c r="K12" s="3">
        <f t="shared" si="1"/>
        <v>0.024</v>
      </c>
    </row>
    <row r="13" ht="67.5" spans="1:11">
      <c r="A13" s="3">
        <v>12</v>
      </c>
      <c r="B13" s="3">
        <v>26</v>
      </c>
      <c r="C13" s="3" t="s">
        <v>81</v>
      </c>
      <c r="D13" s="3" t="s">
        <v>82</v>
      </c>
      <c r="E13" s="3" t="s">
        <v>83</v>
      </c>
      <c r="F13" s="4" t="s">
        <v>84</v>
      </c>
      <c r="G13" s="3" t="s">
        <v>85</v>
      </c>
      <c r="H13" s="5" t="s">
        <v>86</v>
      </c>
      <c r="I13" s="7" t="s">
        <v>82</v>
      </c>
      <c r="J13" s="3">
        <v>0.008</v>
      </c>
      <c r="K13" s="3">
        <f t="shared" si="1"/>
        <v>0.208</v>
      </c>
    </row>
    <row r="14" ht="67.5" spans="1:11">
      <c r="A14" s="3">
        <v>13</v>
      </c>
      <c r="B14" s="3">
        <v>2</v>
      </c>
      <c r="C14" s="3" t="s">
        <v>87</v>
      </c>
      <c r="D14" s="3" t="s">
        <v>88</v>
      </c>
      <c r="E14" s="3" t="s">
        <v>89</v>
      </c>
      <c r="F14" s="4" t="s">
        <v>90</v>
      </c>
      <c r="G14" s="3" t="s">
        <v>91</v>
      </c>
      <c r="H14" s="5" t="s">
        <v>92</v>
      </c>
      <c r="I14" s="7" t="s">
        <v>88</v>
      </c>
      <c r="J14" s="3">
        <v>0.035</v>
      </c>
      <c r="K14" s="3">
        <f t="shared" si="1"/>
        <v>0.07</v>
      </c>
    </row>
    <row r="15" s="2" customFormat="1" ht="54" spans="1:9">
      <c r="A15" s="2">
        <v>14</v>
      </c>
      <c r="C15" s="1" t="s">
        <v>93</v>
      </c>
      <c r="D15" s="1" t="s">
        <v>94</v>
      </c>
      <c r="E15" s="1" t="s">
        <v>95</v>
      </c>
      <c r="F15" s="4" t="s">
        <v>96</v>
      </c>
      <c r="G15" s="1" t="s">
        <v>97</v>
      </c>
      <c r="H15" s="5" t="s">
        <v>98</v>
      </c>
      <c r="I15" s="1" t="s">
        <v>94</v>
      </c>
    </row>
    <row r="16" ht="54" spans="1:11">
      <c r="A16" s="3">
        <v>15</v>
      </c>
      <c r="B16" s="3">
        <v>2</v>
      </c>
      <c r="C16" s="3" t="s">
        <v>99</v>
      </c>
      <c r="D16" s="3" t="s">
        <v>100</v>
      </c>
      <c r="E16" s="3" t="s">
        <v>101</v>
      </c>
      <c r="F16" s="4" t="s">
        <v>102</v>
      </c>
      <c r="G16" s="3" t="s">
        <v>103</v>
      </c>
      <c r="H16" s="5" t="s">
        <v>104</v>
      </c>
      <c r="I16" s="7" t="s">
        <v>105</v>
      </c>
      <c r="J16" s="3">
        <v>0.4</v>
      </c>
      <c r="K16" s="3">
        <f>J16*B16</f>
        <v>0.8</v>
      </c>
    </row>
    <row r="17" ht="54" spans="1:11">
      <c r="A17" s="3">
        <v>16</v>
      </c>
      <c r="B17" s="3">
        <v>1</v>
      </c>
      <c r="C17" s="3" t="s">
        <v>106</v>
      </c>
      <c r="D17" s="3" t="s">
        <v>107</v>
      </c>
      <c r="E17" s="3" t="s">
        <v>108</v>
      </c>
      <c r="F17" s="4" t="s">
        <v>109</v>
      </c>
      <c r="G17" s="3" t="s">
        <v>110</v>
      </c>
      <c r="H17" s="5" t="s">
        <v>111</v>
      </c>
      <c r="I17" s="7" t="s">
        <v>112</v>
      </c>
      <c r="J17" s="3">
        <v>0.58</v>
      </c>
      <c r="K17" s="3">
        <f>J17*B17</f>
        <v>0.58</v>
      </c>
    </row>
    <row r="18" ht="54" spans="1:11">
      <c r="A18" s="3">
        <v>17</v>
      </c>
      <c r="B18" s="3">
        <v>4</v>
      </c>
      <c r="C18" s="3" t="s">
        <v>113</v>
      </c>
      <c r="D18" s="3" t="s">
        <v>114</v>
      </c>
      <c r="E18" s="3" t="s">
        <v>115</v>
      </c>
      <c r="F18" s="4" t="s">
        <v>96</v>
      </c>
      <c r="G18" s="3" t="s">
        <v>116</v>
      </c>
      <c r="H18" s="5" t="s">
        <v>117</v>
      </c>
      <c r="I18" s="7" t="s">
        <v>114</v>
      </c>
      <c r="J18" s="3">
        <v>0.652</v>
      </c>
      <c r="K18" s="3">
        <f>J18*B18</f>
        <v>2.608</v>
      </c>
    </row>
    <row r="19" ht="67.5" spans="1:11">
      <c r="A19" s="3">
        <v>18</v>
      </c>
      <c r="B19" s="3">
        <v>2</v>
      </c>
      <c r="C19" s="3" t="s">
        <v>118</v>
      </c>
      <c r="D19" s="3" t="s">
        <v>119</v>
      </c>
      <c r="E19" s="3" t="s">
        <v>120</v>
      </c>
      <c r="F19" s="4" t="s">
        <v>121</v>
      </c>
      <c r="G19" s="3" t="s">
        <v>122</v>
      </c>
      <c r="H19" s="5" t="s">
        <v>123</v>
      </c>
      <c r="I19" s="7" t="s">
        <v>124</v>
      </c>
      <c r="J19" s="3">
        <v>0.112</v>
      </c>
      <c r="K19" s="3">
        <f>J19*B19</f>
        <v>0.224</v>
      </c>
    </row>
    <row r="20" ht="67.5" spans="1:11">
      <c r="A20" s="3">
        <v>19</v>
      </c>
      <c r="B20" s="3">
        <v>24</v>
      </c>
      <c r="C20" s="3" t="s">
        <v>125</v>
      </c>
      <c r="D20" s="3" t="s">
        <v>126</v>
      </c>
      <c r="E20" s="3" t="s">
        <v>127</v>
      </c>
      <c r="F20" s="4" t="s">
        <v>128</v>
      </c>
      <c r="G20" s="3" t="s">
        <v>129</v>
      </c>
      <c r="H20" s="5" t="s">
        <v>130</v>
      </c>
      <c r="I20" s="7" t="s">
        <v>131</v>
      </c>
      <c r="J20" s="3">
        <v>0.008</v>
      </c>
      <c r="K20" s="3">
        <f>J20*B20</f>
        <v>0.192</v>
      </c>
    </row>
    <row r="21" s="2" customFormat="1" ht="40.5" spans="1:9">
      <c r="A21" s="2">
        <v>20</v>
      </c>
      <c r="B21" s="2">
        <v>3</v>
      </c>
      <c r="C21" s="1" t="s">
        <v>132</v>
      </c>
      <c r="D21" s="1" t="s">
        <v>133</v>
      </c>
      <c r="E21" s="1" t="s">
        <v>134</v>
      </c>
      <c r="F21" s="6" t="s">
        <v>135</v>
      </c>
      <c r="G21" s="1" t="s">
        <v>136</v>
      </c>
      <c r="H21" s="6" t="s">
        <v>137</v>
      </c>
      <c r="I21" s="1" t="s">
        <v>133</v>
      </c>
    </row>
    <row r="22" ht="67.5" spans="1:11">
      <c r="A22" s="3">
        <v>21</v>
      </c>
      <c r="B22" s="3">
        <v>6</v>
      </c>
      <c r="C22" s="3" t="s">
        <v>138</v>
      </c>
      <c r="D22" s="3" t="s">
        <v>139</v>
      </c>
      <c r="E22" s="3" t="s">
        <v>140</v>
      </c>
      <c r="F22" s="4" t="s">
        <v>141</v>
      </c>
      <c r="G22" s="3" t="s">
        <v>91</v>
      </c>
      <c r="H22" s="5" t="s">
        <v>142</v>
      </c>
      <c r="I22" s="7" t="s">
        <v>143</v>
      </c>
      <c r="J22" s="3">
        <v>0.002</v>
      </c>
      <c r="K22" s="3">
        <f t="shared" ref="K22:K48" si="2">J22*B22</f>
        <v>0.012</v>
      </c>
    </row>
    <row r="23" ht="67.5" spans="1:11">
      <c r="A23" s="3">
        <v>22</v>
      </c>
      <c r="B23" s="3">
        <v>21</v>
      </c>
      <c r="C23" s="3" t="s">
        <v>144</v>
      </c>
      <c r="D23" s="3" t="s">
        <v>145</v>
      </c>
      <c r="E23" s="3" t="s">
        <v>146</v>
      </c>
      <c r="F23" s="4" t="s">
        <v>147</v>
      </c>
      <c r="G23" s="3" t="s">
        <v>91</v>
      </c>
      <c r="H23" s="5" t="s">
        <v>148</v>
      </c>
      <c r="I23" s="7" t="s">
        <v>149</v>
      </c>
      <c r="J23" s="3">
        <v>0.002</v>
      </c>
      <c r="K23" s="3">
        <f t="shared" si="2"/>
        <v>0.042</v>
      </c>
    </row>
    <row r="24" ht="67.5" spans="1:11">
      <c r="A24" s="3">
        <v>23</v>
      </c>
      <c r="B24" s="3">
        <v>2</v>
      </c>
      <c r="C24" s="3" t="s">
        <v>150</v>
      </c>
      <c r="D24" s="3" t="s">
        <v>151</v>
      </c>
      <c r="E24" s="3" t="s">
        <v>152</v>
      </c>
      <c r="F24" s="4" t="s">
        <v>147</v>
      </c>
      <c r="G24" s="3" t="s">
        <v>91</v>
      </c>
      <c r="H24" s="5" t="s">
        <v>153</v>
      </c>
      <c r="I24" s="3" t="s">
        <v>154</v>
      </c>
      <c r="J24" s="3">
        <v>0.002</v>
      </c>
      <c r="K24" s="3">
        <f t="shared" si="2"/>
        <v>0.004</v>
      </c>
    </row>
    <row r="25" ht="67.5" spans="1:11">
      <c r="A25" s="3">
        <v>24</v>
      </c>
      <c r="B25" s="3">
        <v>4</v>
      </c>
      <c r="C25" s="3" t="s">
        <v>155</v>
      </c>
      <c r="D25" s="3" t="s">
        <v>156</v>
      </c>
      <c r="E25" s="3" t="s">
        <v>157</v>
      </c>
      <c r="F25" s="4" t="s">
        <v>158</v>
      </c>
      <c r="G25" s="3" t="s">
        <v>91</v>
      </c>
      <c r="H25" s="5" t="s">
        <v>159</v>
      </c>
      <c r="I25" s="3" t="s">
        <v>160</v>
      </c>
      <c r="J25" s="3">
        <v>0.002</v>
      </c>
      <c r="K25" s="3">
        <f t="shared" si="2"/>
        <v>0.008</v>
      </c>
    </row>
    <row r="26" ht="67.5" spans="1:11">
      <c r="A26" s="3">
        <v>25</v>
      </c>
      <c r="B26" s="3">
        <v>9</v>
      </c>
      <c r="C26" s="3" t="s">
        <v>161</v>
      </c>
      <c r="D26" s="3" t="s">
        <v>162</v>
      </c>
      <c r="E26" s="3" t="s">
        <v>163</v>
      </c>
      <c r="F26" s="4" t="s">
        <v>147</v>
      </c>
      <c r="G26" s="3" t="s">
        <v>91</v>
      </c>
      <c r="H26" s="5" t="s">
        <v>164</v>
      </c>
      <c r="I26" s="3" t="s">
        <v>165</v>
      </c>
      <c r="J26" s="3">
        <v>0.002</v>
      </c>
      <c r="K26" s="3">
        <f t="shared" si="2"/>
        <v>0.018</v>
      </c>
    </row>
    <row r="27" ht="67.5" spans="1:11">
      <c r="A27" s="3">
        <v>26</v>
      </c>
      <c r="B27" s="3">
        <v>1</v>
      </c>
      <c r="C27" s="3" t="s">
        <v>166</v>
      </c>
      <c r="D27" s="3" t="s">
        <v>167</v>
      </c>
      <c r="E27" s="3" t="s">
        <v>168</v>
      </c>
      <c r="F27" s="4" t="s">
        <v>169</v>
      </c>
      <c r="G27" s="3" t="s">
        <v>91</v>
      </c>
      <c r="H27" s="5" t="s">
        <v>170</v>
      </c>
      <c r="I27" s="3" t="s">
        <v>171</v>
      </c>
      <c r="J27" s="3">
        <v>0.002</v>
      </c>
      <c r="K27" s="3">
        <f t="shared" si="2"/>
        <v>0.002</v>
      </c>
    </row>
    <row r="28" ht="67.5" spans="1:11">
      <c r="A28" s="3">
        <v>27</v>
      </c>
      <c r="B28" s="3">
        <v>28</v>
      </c>
      <c r="C28" s="3" t="s">
        <v>172</v>
      </c>
      <c r="D28" s="3" t="s">
        <v>173</v>
      </c>
      <c r="E28" s="3" t="s">
        <v>174</v>
      </c>
      <c r="F28" s="4" t="s">
        <v>169</v>
      </c>
      <c r="G28" s="3" t="s">
        <v>91</v>
      </c>
      <c r="H28" s="5" t="s">
        <v>175</v>
      </c>
      <c r="I28" s="3" t="s">
        <v>176</v>
      </c>
      <c r="J28" s="3">
        <v>0.002</v>
      </c>
      <c r="K28" s="3">
        <f t="shared" si="2"/>
        <v>0.056</v>
      </c>
    </row>
    <row r="29" ht="54" spans="1:11">
      <c r="A29" s="3">
        <v>28</v>
      </c>
      <c r="B29" s="3">
        <v>4</v>
      </c>
      <c r="C29" s="3" t="s">
        <v>177</v>
      </c>
      <c r="D29" s="3">
        <v>0</v>
      </c>
      <c r="E29" s="3" t="s">
        <v>178</v>
      </c>
      <c r="F29" s="4" t="s">
        <v>147</v>
      </c>
      <c r="G29" s="3" t="s">
        <v>91</v>
      </c>
      <c r="H29" s="5" t="s">
        <v>179</v>
      </c>
      <c r="I29" s="3" t="s">
        <v>180</v>
      </c>
      <c r="J29" s="3">
        <v>0.002</v>
      </c>
      <c r="K29" s="3">
        <f t="shared" si="2"/>
        <v>0.008</v>
      </c>
    </row>
    <row r="30" ht="67.5" spans="1:11">
      <c r="A30" s="3">
        <v>29</v>
      </c>
      <c r="B30" s="3">
        <v>2</v>
      </c>
      <c r="C30" s="3" t="s">
        <v>181</v>
      </c>
      <c r="D30" s="3" t="s">
        <v>182</v>
      </c>
      <c r="E30" s="3" t="s">
        <v>183</v>
      </c>
      <c r="F30" s="4" t="s">
        <v>169</v>
      </c>
      <c r="G30" s="3" t="s">
        <v>91</v>
      </c>
      <c r="H30" s="5" t="s">
        <v>184</v>
      </c>
      <c r="I30" s="3" t="s">
        <v>185</v>
      </c>
      <c r="J30" s="3">
        <v>0.002</v>
      </c>
      <c r="K30" s="3">
        <f t="shared" si="2"/>
        <v>0.004</v>
      </c>
    </row>
    <row r="31" ht="67.5" spans="1:11">
      <c r="A31" s="3">
        <v>30</v>
      </c>
      <c r="B31" s="3">
        <v>2</v>
      </c>
      <c r="C31" s="3" t="s">
        <v>186</v>
      </c>
      <c r="D31" s="3" t="s">
        <v>187</v>
      </c>
      <c r="E31" s="3" t="s">
        <v>188</v>
      </c>
      <c r="F31" s="4" t="s">
        <v>158</v>
      </c>
      <c r="G31" s="3" t="s">
        <v>91</v>
      </c>
      <c r="H31" s="5" t="s">
        <v>189</v>
      </c>
      <c r="I31" s="3" t="s">
        <v>190</v>
      </c>
      <c r="J31" s="3">
        <v>0.002</v>
      </c>
      <c r="K31" s="3">
        <f t="shared" si="2"/>
        <v>0.004</v>
      </c>
    </row>
    <row r="32" ht="67.5" spans="1:11">
      <c r="A32" s="3">
        <v>31</v>
      </c>
      <c r="B32" s="3">
        <v>24</v>
      </c>
      <c r="C32" s="3" t="s">
        <v>191</v>
      </c>
      <c r="D32" s="3" t="s">
        <v>192</v>
      </c>
      <c r="E32" s="3" t="s">
        <v>193</v>
      </c>
      <c r="F32" s="4" t="s">
        <v>194</v>
      </c>
      <c r="G32" s="3" t="s">
        <v>195</v>
      </c>
      <c r="H32" s="5" t="s">
        <v>196</v>
      </c>
      <c r="I32" s="7" t="s">
        <v>197</v>
      </c>
      <c r="J32" s="3">
        <v>0.004</v>
      </c>
      <c r="K32" s="3">
        <f t="shared" si="2"/>
        <v>0.096</v>
      </c>
    </row>
    <row r="33" ht="67.5" spans="1:11">
      <c r="A33" s="3">
        <v>32</v>
      </c>
      <c r="B33" s="3">
        <v>24</v>
      </c>
      <c r="C33" s="3" t="s">
        <v>198</v>
      </c>
      <c r="D33" s="3" t="s">
        <v>199</v>
      </c>
      <c r="E33" s="3" t="s">
        <v>200</v>
      </c>
      <c r="F33" s="4" t="s">
        <v>169</v>
      </c>
      <c r="G33" s="3" t="s">
        <v>91</v>
      </c>
      <c r="H33" s="5" t="s">
        <v>201</v>
      </c>
      <c r="I33" s="3" t="s">
        <v>202</v>
      </c>
      <c r="J33" s="3">
        <v>0.002</v>
      </c>
      <c r="K33" s="3">
        <f t="shared" si="2"/>
        <v>0.048</v>
      </c>
    </row>
    <row r="34" ht="67.5" spans="1:11">
      <c r="A34" s="3">
        <v>33</v>
      </c>
      <c r="B34" s="3">
        <v>1</v>
      </c>
      <c r="C34" s="3" t="s">
        <v>203</v>
      </c>
      <c r="D34" s="3" t="s">
        <v>204</v>
      </c>
      <c r="E34" s="3" t="s">
        <v>205</v>
      </c>
      <c r="F34" s="4" t="s">
        <v>169</v>
      </c>
      <c r="G34" s="3" t="s">
        <v>91</v>
      </c>
      <c r="H34" s="5" t="s">
        <v>206</v>
      </c>
      <c r="I34" s="3" t="s">
        <v>207</v>
      </c>
      <c r="J34" s="3">
        <v>0.002</v>
      </c>
      <c r="K34" s="3">
        <f t="shared" si="2"/>
        <v>0.002</v>
      </c>
    </row>
    <row r="35" s="1" customFormat="1" ht="67.5" spans="1:11">
      <c r="A35" s="3">
        <v>34</v>
      </c>
      <c r="B35" s="1">
        <v>1</v>
      </c>
      <c r="C35" s="1" t="s">
        <v>208</v>
      </c>
      <c r="D35" s="1" t="s">
        <v>209</v>
      </c>
      <c r="E35" s="1" t="s">
        <v>210</v>
      </c>
      <c r="F35" s="6" t="s">
        <v>211</v>
      </c>
      <c r="G35" s="1" t="s">
        <v>212</v>
      </c>
      <c r="H35" s="6" t="s">
        <v>213</v>
      </c>
      <c r="I35" s="1" t="s">
        <v>209</v>
      </c>
      <c r="J35" s="1">
        <v>2</v>
      </c>
      <c r="K35" s="1">
        <f t="shared" si="2"/>
        <v>2</v>
      </c>
    </row>
    <row r="36" ht="40.5" spans="1:11">
      <c r="A36" s="3">
        <v>35</v>
      </c>
      <c r="B36" s="3">
        <v>2</v>
      </c>
      <c r="C36" s="3" t="s">
        <v>214</v>
      </c>
      <c r="D36" s="3" t="s">
        <v>215</v>
      </c>
      <c r="E36" s="3" t="s">
        <v>216</v>
      </c>
      <c r="F36" s="4" t="s">
        <v>217</v>
      </c>
      <c r="G36" s="3" t="s">
        <v>91</v>
      </c>
      <c r="H36" s="5" t="s">
        <v>218</v>
      </c>
      <c r="I36" s="7" t="s">
        <v>219</v>
      </c>
      <c r="J36" s="3">
        <v>0.034</v>
      </c>
      <c r="K36" s="3">
        <f t="shared" si="2"/>
        <v>0.068</v>
      </c>
    </row>
    <row r="37" ht="54" spans="1:11">
      <c r="A37" s="3">
        <v>36</v>
      </c>
      <c r="B37" s="3">
        <v>8</v>
      </c>
      <c r="C37" s="3" t="s">
        <v>220</v>
      </c>
      <c r="D37" s="3" t="s">
        <v>221</v>
      </c>
      <c r="E37" s="3" t="s">
        <v>222</v>
      </c>
      <c r="F37" s="4" t="s">
        <v>223</v>
      </c>
      <c r="G37" s="3" t="s">
        <v>224</v>
      </c>
      <c r="H37" s="5" t="s">
        <v>225</v>
      </c>
      <c r="I37" s="7" t="s">
        <v>226</v>
      </c>
      <c r="J37" s="3">
        <v>0.28</v>
      </c>
      <c r="K37" s="3">
        <f t="shared" si="2"/>
        <v>2.24</v>
      </c>
    </row>
    <row r="38" ht="40.5" spans="1:11">
      <c r="A38" s="3">
        <v>37</v>
      </c>
      <c r="B38" s="3">
        <v>3</v>
      </c>
      <c r="C38" s="3" t="s">
        <v>227</v>
      </c>
      <c r="D38" s="3" t="s">
        <v>228</v>
      </c>
      <c r="E38" s="3" t="s">
        <v>229</v>
      </c>
      <c r="F38" s="4" t="s">
        <v>230</v>
      </c>
      <c r="G38" s="3" t="s">
        <v>231</v>
      </c>
      <c r="H38" s="5" t="s">
        <v>232</v>
      </c>
      <c r="I38" s="7" t="s">
        <v>228</v>
      </c>
      <c r="J38" s="3">
        <v>2</v>
      </c>
      <c r="K38" s="3">
        <f t="shared" si="2"/>
        <v>6</v>
      </c>
    </row>
    <row r="39" s="1" customFormat="1" ht="40.5" spans="1:11">
      <c r="A39" s="3">
        <v>38</v>
      </c>
      <c r="B39" s="1">
        <v>1</v>
      </c>
      <c r="C39" s="1" t="s">
        <v>233</v>
      </c>
      <c r="D39" s="1" t="s">
        <v>234</v>
      </c>
      <c r="E39" s="1" t="s">
        <v>235</v>
      </c>
      <c r="F39" s="6" t="s">
        <v>236</v>
      </c>
      <c r="G39" s="1" t="s">
        <v>237</v>
      </c>
      <c r="H39" s="6" t="s">
        <v>238</v>
      </c>
      <c r="I39" s="1" t="s">
        <v>234</v>
      </c>
      <c r="J39" s="1">
        <v>0.7704</v>
      </c>
      <c r="K39" s="1">
        <f t="shared" si="2"/>
        <v>0.7704</v>
      </c>
    </row>
    <row r="40" ht="40.5" spans="1:11">
      <c r="A40" s="3">
        <v>39</v>
      </c>
      <c r="B40" s="3">
        <v>1</v>
      </c>
      <c r="C40" s="3" t="s">
        <v>239</v>
      </c>
      <c r="D40" s="3" t="s">
        <v>240</v>
      </c>
      <c r="E40" s="3" t="s">
        <v>241</v>
      </c>
      <c r="F40" s="4" t="s">
        <v>242</v>
      </c>
      <c r="G40" s="3" t="s">
        <v>243</v>
      </c>
      <c r="H40" s="5" t="s">
        <v>244</v>
      </c>
      <c r="I40" s="7" t="s">
        <v>240</v>
      </c>
      <c r="J40" s="3">
        <v>0.54</v>
      </c>
      <c r="K40" s="3">
        <f t="shared" si="2"/>
        <v>0.54</v>
      </c>
    </row>
    <row r="41" ht="54" spans="1:11">
      <c r="A41" s="3">
        <v>40</v>
      </c>
      <c r="B41" s="3">
        <v>1</v>
      </c>
      <c r="C41" s="3" t="s">
        <v>245</v>
      </c>
      <c r="D41" s="3" t="s">
        <v>246</v>
      </c>
      <c r="E41" s="3" t="s">
        <v>247</v>
      </c>
      <c r="F41" s="4" t="s">
        <v>248</v>
      </c>
      <c r="G41" s="3" t="s">
        <v>249</v>
      </c>
      <c r="H41" s="5" t="s">
        <v>250</v>
      </c>
      <c r="I41" s="7" t="s">
        <v>246</v>
      </c>
      <c r="J41" s="3">
        <v>3.698</v>
      </c>
      <c r="K41" s="3">
        <f t="shared" si="2"/>
        <v>3.698</v>
      </c>
    </row>
    <row r="42" ht="54" spans="1:11">
      <c r="A42" s="3">
        <v>41</v>
      </c>
      <c r="B42" s="3">
        <v>1</v>
      </c>
      <c r="C42" s="3" t="s">
        <v>251</v>
      </c>
      <c r="D42" s="3" t="s">
        <v>252</v>
      </c>
      <c r="E42" s="3" t="s">
        <v>247</v>
      </c>
      <c r="F42" s="4" t="s">
        <v>248</v>
      </c>
      <c r="G42" s="3" t="s">
        <v>249</v>
      </c>
      <c r="H42" s="5" t="s">
        <v>253</v>
      </c>
      <c r="I42" s="7" t="s">
        <v>252</v>
      </c>
      <c r="J42" s="3">
        <v>4.885</v>
      </c>
      <c r="K42" s="3">
        <f t="shared" si="2"/>
        <v>4.885</v>
      </c>
    </row>
    <row r="43" s="1" customFormat="1" ht="54" spans="1:9">
      <c r="A43" s="3">
        <v>42</v>
      </c>
      <c r="B43" s="1">
        <v>3</v>
      </c>
      <c r="C43" s="1" t="s">
        <v>254</v>
      </c>
      <c r="D43" s="1" t="s">
        <v>255</v>
      </c>
      <c r="E43" s="1" t="s">
        <v>256</v>
      </c>
      <c r="F43" s="6" t="s">
        <v>257</v>
      </c>
      <c r="G43" s="1" t="s">
        <v>258</v>
      </c>
      <c r="H43" s="6" t="s">
        <v>259</v>
      </c>
      <c r="I43" s="1" t="s">
        <v>260</v>
      </c>
    </row>
    <row r="44" ht="94.5" spans="1:11">
      <c r="A44" s="3">
        <v>43</v>
      </c>
      <c r="B44" s="3">
        <v>1</v>
      </c>
      <c r="C44" s="3" t="s">
        <v>261</v>
      </c>
      <c r="D44" s="3" t="s">
        <v>262</v>
      </c>
      <c r="E44" s="3" t="s">
        <v>263</v>
      </c>
      <c r="F44" s="4" t="s">
        <v>264</v>
      </c>
      <c r="G44" s="3" t="s">
        <v>265</v>
      </c>
      <c r="H44" s="5" t="s">
        <v>266</v>
      </c>
      <c r="I44" s="7" t="s">
        <v>267</v>
      </c>
      <c r="J44" s="3">
        <v>272.16</v>
      </c>
      <c r="K44" s="3">
        <f>J44*B44</f>
        <v>272.16</v>
      </c>
    </row>
    <row r="45" ht="54" spans="1:11">
      <c r="A45" s="3">
        <v>44</v>
      </c>
      <c r="B45" s="3">
        <v>1</v>
      </c>
      <c r="C45" s="3" t="s">
        <v>268</v>
      </c>
      <c r="D45" s="3" t="s">
        <v>269</v>
      </c>
      <c r="E45" s="3" t="s">
        <v>270</v>
      </c>
      <c r="F45" s="4" t="s">
        <v>271</v>
      </c>
      <c r="G45" s="3" t="s">
        <v>272</v>
      </c>
      <c r="H45" s="5" t="s">
        <v>273</v>
      </c>
      <c r="I45" s="7" t="s">
        <v>274</v>
      </c>
      <c r="J45" s="3">
        <v>0.035866</v>
      </c>
      <c r="K45" s="3">
        <f>J45*B45</f>
        <v>0.035866</v>
      </c>
    </row>
    <row r="46" ht="54" spans="1:11">
      <c r="A46" s="3">
        <v>45</v>
      </c>
      <c r="B46" s="3">
        <v>2</v>
      </c>
      <c r="C46" s="3" t="s">
        <v>275</v>
      </c>
      <c r="D46" s="3" t="s">
        <v>276</v>
      </c>
      <c r="E46" s="3" t="s">
        <v>277</v>
      </c>
      <c r="F46" s="4" t="s">
        <v>278</v>
      </c>
      <c r="G46" s="3" t="s">
        <v>279</v>
      </c>
      <c r="H46" s="5" t="s">
        <v>280</v>
      </c>
      <c r="I46" s="7" t="s">
        <v>281</v>
      </c>
      <c r="J46" s="3">
        <v>2</v>
      </c>
      <c r="K46" s="3">
        <f>J46*B46</f>
        <v>4</v>
      </c>
    </row>
    <row r="47" ht="54" spans="2:9">
      <c r="B47" s="3">
        <v>8</v>
      </c>
      <c r="D47" s="3" t="s">
        <v>282</v>
      </c>
      <c r="E47" s="3" t="s">
        <v>283</v>
      </c>
      <c r="F47" s="4" t="s">
        <v>284</v>
      </c>
      <c r="G47" s="3" t="s">
        <v>285</v>
      </c>
      <c r="H47" s="5" t="s">
        <v>286</v>
      </c>
      <c r="I47" s="7" t="s">
        <v>282</v>
      </c>
    </row>
    <row r="48" ht="54" spans="2:9">
      <c r="B48" s="3">
        <v>8</v>
      </c>
      <c r="D48" s="3" t="s">
        <v>287</v>
      </c>
      <c r="E48" s="3" t="s">
        <v>288</v>
      </c>
      <c r="F48" s="4" t="s">
        <v>284</v>
      </c>
      <c r="H48" s="5" t="s">
        <v>289</v>
      </c>
      <c r="I48" s="7" t="s">
        <v>287</v>
      </c>
    </row>
    <row r="49" ht="40.5" spans="2:9">
      <c r="B49" s="3">
        <v>16</v>
      </c>
      <c r="D49" s="3" t="s">
        <v>290</v>
      </c>
      <c r="E49" s="3" t="s">
        <v>291</v>
      </c>
      <c r="F49" s="4" t="s">
        <v>292</v>
      </c>
      <c r="H49" s="5" t="s">
        <v>293</v>
      </c>
      <c r="I49" s="7" t="s">
        <v>290</v>
      </c>
    </row>
    <row r="50" spans="1:11">
      <c r="A50" s="3">
        <v>46</v>
      </c>
      <c r="B50" s="3">
        <v>1</v>
      </c>
      <c r="C50" s="7" t="s">
        <v>294</v>
      </c>
      <c r="E50" s="7" t="s">
        <v>295</v>
      </c>
      <c r="J50" s="3">
        <v>32.56</v>
      </c>
      <c r="K50" s="3">
        <f>J50*B50</f>
        <v>32.56</v>
      </c>
    </row>
    <row r="51" spans="11:11">
      <c r="K51" s="3">
        <f>J51*B51</f>
        <v>0</v>
      </c>
    </row>
    <row r="52" spans="11:11">
      <c r="K52" s="3">
        <f>J52*B52</f>
        <v>0</v>
      </c>
    </row>
    <row r="53" spans="11:11">
      <c r="K53" s="3">
        <f>SUM(K2:K52)</f>
        <v>334.560966</v>
      </c>
    </row>
  </sheetData>
  <hyperlinks>
    <hyperlink ref="F2" r:id="rId1" display="https://www.digikey.jp/en/products/detail/samsung-electro-mechanics/CL10B104KC8NNNC/5961291?s=N4IgTCBcDaIMIBkCMAGAQqgLAaTgDgDki4AdEkAXQF8g"/>
    <hyperlink ref="F3" r:id="rId2" display="https://search.murata.co.jp/Ceramy/image/img/A01X/G101/ENG/GRM188R61E225KA12-01.pdf"/>
    <hyperlink ref="H2" r:id="rId3" display="https://www.digikey.jp/en/products/detail/samsung-electro-mechanics/CL10B104KC8NNNC/5961291?s=N4IgTCBcDaIMIBkCMAGAQqgLAaTgDgDki4QBdAXyA"/>
    <hyperlink ref="H3" r:id="rId4" display="https://www.digikey.jp/en/products/detail/murata-electronics/GRM188R61E225KA12D/4905349"/>
    <hyperlink ref="H4" r:id="rId5" display="https://www.digikey.jp/en/products/detail/kemet/C0603C102K4RECAUTO/8640472"/>
    <hyperlink ref="H5" r:id="rId6" display="https://www.digikey.jp/en/products/detail/kemet/C0603X103K1RAC3316/10315782"/>
    <hyperlink ref="H6" r:id="rId7" display="https://www.digikey.jp/en/products/detail/samsung-electro-mechanics/CL10B105KA8NNNC/3886842"/>
    <hyperlink ref="H7" r:id="rId8" display="https://www.digikey.jp/en/products/detail/samsung-electro-mechanics/CL10A475KO8NNNC/3887442?s=N4IgTCBcDaIMIBkCMAGAggFgOwFYDSA8gBwByZcIAugL5A"/>
    <hyperlink ref="H9" r:id="rId9" display="https://www.digikey.jp/en/products/detail/liteon/LTST-C190KRKT/386817"/>
    <hyperlink ref="H10" r:id="rId10" display="https://www.digikey.jp/en/products/detail/diodes-incorporated/1N4148W-7-F/814371"/>
    <hyperlink ref="H11" r:id="rId11" display="https://www.digikey.jp/en/products/detail/nexperia-usa-inc/BZT52H-C62-115/1162867"/>
    <hyperlink ref="H12" r:id="rId12" display="https://www.digikey.jp/en/products/detail/nexperia-usa-inc/PDZ7-5BZ/7495708"/>
    <hyperlink ref="H13" r:id="rId13" display="https://www.digikey.jp/en/products/detail/tdk-corporation/MPZ2012S102ATD25/5040327?s=N4IgTCBcDaILIAUBaYAMBGMBldqwEEAVAETAFYQBdAXyA"/>
    <hyperlink ref="H14" r:id="rId14" display="https://www.digikey.jp/en/products/detail/murata-electronics/BLM18PG330SN1D/1948325?s=N4IgTCBcDaIEIBkCyBGAHABQOIGYcAYBlAORQBEQBdAXyA"/>
    <hyperlink ref="H16" r:id="rId15" display="https://www.digikey.jp/en/products/detail/jst-sales-america-inc/B4B-XH-A/1651047"/>
    <hyperlink ref="H17" r:id="rId16" display="https://www.digikey.jp/en/products/detail/jst-sales-america-inc/B2P-VH/926547"/>
    <hyperlink ref="H18" r:id="rId17" display="https://www.digikey.jp/en/products/detail/jst-sales-america-inc/B7B-XH-A/1651050"/>
    <hyperlink ref="H19" r:id="rId18" display="https://www.digikey.jp/en/products/detail/onsemi/NSV1C201MZ4T1G/4848737?s=N4IgTCBcDaIHIGUBqBGAwmADCgsgLQBYQBdAXyA"/>
    <hyperlink ref="H20" r:id="rId19" display="https://www.digikey.jp/en/products/detail/taiwan-semiconductor-corporation/TSM2323CX-RFG/7360264?s=N4IgTCBcDaICoGUCyYDMaDCANABAJQDEBxHEAXQF8g"/>
    <hyperlink ref="H22" r:id="rId20" display="https://www.digikey.jp/en/products/detail/panasonic-electronic-components/ERJ-3EKF49R9V/196378"/>
    <hyperlink ref="H23" r:id="rId21" display="https://www.digikey.jp/en/products/detail/yageo/RC0603FR-0710KL/726880"/>
    <hyperlink ref="H24" r:id="rId22" display="https://www.digikey.jp/en/products/detail/yageo/RC0603JR-07470RL/726791?s=N4IgTCBcDaIEoGEAMA2JBmAUnAtEg7ACz5JwAyIAugL5A"/>
    <hyperlink ref="H25" r:id="rId23" display="https://www.digikey.jp/en/products/detail/yageo/RC0603JR-0751RL/726803?s=N4IgTCBcDaIEoGEAMA2JBmAUnAtEg7AKwCMcAMiALoC%2BQA"/>
    <hyperlink ref="H26" r:id="rId24" display="https://www.digikey.jp/en/products/detail/yageo/RC0603FR-071KL/726843"/>
    <hyperlink ref="H27" r:id="rId25" display="https://www.digikey.jp/en/products/detail/yageo/RC0603FR-072KL/727009?s=N4IgTCBcDaIEoGEAMA2JBmAYnAtEg7GANIAyIAugL5A"/>
    <hyperlink ref="H28" r:id="rId26" display="https://www.digikey.jp/en/products/detail/yageo/RC0603FR-07100RL/726888?s=N4IgTCBcDaIEoGEAMA2JBmAYnAtEg7AIxJJwAyIAugL5A"/>
    <hyperlink ref="H29" r:id="rId27" display="https://www.digikey.jp/en/products/detail/yageo/RC0603JR-070RL/726675?s=N4IgTCBcDaIEoGEAMA2JBmAUnAtEg7EnADIgC6AvkA"/>
    <hyperlink ref="H30" r:id="rId28" display="https://www.digikey.jp/en/products/detail/yageo/RC0603JR-071ML/726678?s=N4IgTCBcDaIEoGEAMA2JBmAUnAtEg7AIwCyAMiALoC%2BQA"/>
    <hyperlink ref="H31" r:id="rId29" display="https://www.digikey.jp/en/products/detail/yageo/RC0603JR-071K2L/726683?s=N4IgTCBcDaIEoGEAMA2JBmAUnAtEg7AIwDSYAMiALoC%2BQA"/>
    <hyperlink ref="H32" r:id="rId30" display="https://www.digikey.jp/en/products/detail/stackpole-electronics-inc/RMCF2512JT36R0/1716346"/>
    <hyperlink ref="H33" r:id="rId31" display="https://www.digikey.jp/en/products/detail/yageo/RC0603FR-073K3L/727126?s=N4IgTCBcDaIEoGEAMA2JBmAYnAtEg7OgNboAyIAugL5A"/>
    <hyperlink ref="H34" r:id="rId32" display="https://www.digikey.jp/en/products/detail/yageo/RC0603JR-07120RL/726706"/>
    <hyperlink ref="H36" r:id="rId33" display="https://www.digikey.jp/en/products/detail/murata-electronics/NCU18XH103F6SRB/7243451"/>
    <hyperlink ref="H37" r:id="rId34" display="https://www.digikey.jp/en/products/detail/cantherm/MF52C1103F3380/1840604"/>
    <hyperlink ref="H38" r:id="rId35" display="https://www.digikey.jp/en/products/detail/pulse-electronics/HM2108NL/7914611"/>
    <hyperlink ref="H40" r:id="rId36" display="https://www.digikey.jp/en/products/detail/microchip-technology/MCP2562T-E-SN/4079891"/>
    <hyperlink ref="H41" r:id="rId37" display="https://www.digikey.jp/en/products/detail/rohm-semiconductor/BD33FC0FP-E2/7896452?s=N4IgTCBcDaIEIBEDMSBiBhADKgCgWgFEIBdAXyA"/>
    <hyperlink ref="H42" r:id="rId38" display="https://www.digikey.jp/en/products/detail/rohm-semiconductor/BD50FC0FP-E2/7896453?s=N4IgTCBcDaIEIBECsAGAYgYXQBQLQFEIBdAXyA"/>
    <hyperlink ref="H44" r:id="rId39" display="https://www.digikey.jp/en/products/detail/espressif-systems/ESP32-DEVKITC-32E/12091810"/>
    <hyperlink ref="H45" r:id="rId40" display="https://www.digikey.jp/en/products/detail/analog-devices-inc/LTC6820IMS-PBF/3838555?s=N4IgTCBcDaIDIBUDCA2AHGADASQLIGUBiABQCEAxAAhAF0BfIA"/>
    <hyperlink ref="H46" r:id="rId41" display="https://www.digikey.jp/en/products/detail/analog-devices-inc/LTC6811HG-1-3ZZPBF/9739208?s=N4IgTCBcDaIDIBUDCA2AHARgwCQOIFoMBiAZgC0yAFAIQDEQBdAXyA"/>
    <hyperlink ref="F43" r:id="rId42" display="https://toshiba.semicon-storage.com/info/TLP291%28SE_datasheet_en_20190708.pdf?did=14152&amp;prodName=TLP291(SE"/>
    <hyperlink ref="H43" r:id="rId43" display="https://www.digikey.jp/en/products/detail/toshiba-semiconductor-and-storage/TLP291-GR-TP-SE/4562877"/>
    <hyperlink ref="F8" r:id="rId44" display="https://www.semitec-global.com/uploads/2022/01/P22-23-CRD.pdf"/>
    <hyperlink ref="H8" r:id="rId45" display="https://www.digikey.jp/en/products/detail/semitec-usa-corp/S-562T/16578981"/>
    <hyperlink ref="F21" r:id="rId46" display="https://toshiba.semicon-storage.com/info/SSM3J332R_datasheet_en_20250523.pdf?did=2620&amp;prodName=SSM3J332R"/>
    <hyperlink ref="H21" r:id="rId47" display="https://www.digikey.jp/en/products/detail/toshiba-semiconductor-and-storage/SSM3J332R-LF/3522371"/>
    <hyperlink ref="F39" r:id="rId48" display="https://ww1.microchip.com/downloads/aemDocuments/documents/APID/ProductDocuments/DataSheets/MCP23017-Data-Sheet-DS20001952.pdf"/>
    <hyperlink ref="H39" r:id="rId49" display="https://www.digikey.jp/en/products/detail/microchip-technology/MCP23017T-E-SS/964185"/>
    <hyperlink ref="F35" r:id="rId50" display="https://www.ctscorp.com/Files/DataSheets/Switches/DIP-Switches/CTS-Switches-DIP-218-Series-Datasheet.pdf"/>
    <hyperlink ref="H35" r:id="rId51" display="https://www.digikey.jp/en/products/detail/cts-electrocomponents/218-8LPSTJ/5223872"/>
    <hyperlink ref="H47" r:id="rId52" display="https://www.digikey.jp/en/products/detail/jst-sales-america-inc/B2B-ZR/926564"/>
    <hyperlink ref="F47" r:id="rId53" display="https://www.jst-mfg.com/product/pdf/eng/eZH.pdf"/>
    <hyperlink ref="H48" r:id="rId54" display="https://www.digikey.jp/en/products/detail/jst-sales-america-inc/ZHR-2/566476"/>
    <hyperlink ref="F48" r:id="rId53" display="https://www.jst-mfg.com/product/pdf/eng/eZH.pdf"/>
    <hyperlink ref="H49" r:id="rId55" display="https://www.digikey.jp/en/products/detail/jst-sales-america-inc/SZH-003T-P0-5/608722"/>
    <hyperlink ref="F49" r:id="rId56" display="https://www.jst.com/wp-content/uploads/2025/06/eZM.pdf"/>
    <hyperlink ref="H15" r:id="rId57" display="https://www.digikey.jp/en/products/detail/jst-sales-america-inc/B6B-XH-A/1000381"/>
    <hyperlink ref="F15" r:id="rId58" display="https://www.jst-mfg.com/product/pdf/eng/eXH.pdf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LTC6811_ESP32_Master_V5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明</cp:lastModifiedBy>
  <dcterms:created xsi:type="dcterms:W3CDTF">2024-09-12T10:10:00Z</dcterms:created>
  <dcterms:modified xsi:type="dcterms:W3CDTF">2025-10-24T08:13:39Z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6E9FC2944C0E4C8498AB8DA0497829A6_13</vt:lpwstr>
  </property>
</Properties>
</file>